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1" documentId="8_{9970AC5E-7F07-47B7-B562-F6585E4B7117}" xr6:coauthVersionLast="47" xr6:coauthVersionMax="47" xr10:uidLastSave="{CD533E66-0BF8-41DC-86A7-411483B69001}"/>
  <bookViews>
    <workbookView xWindow="28680" yWindow="-120" windowWidth="29040" windowHeight="15720" tabRatio="431" firstSheet="2" activeTab="3" xr2:uid="{00000000-000D-0000-FFFF-FFFF00000000}"/>
  </bookViews>
  <sheets>
    <sheet name="PLAN PENSUM IELE CBU3" sheetId="43" r:id="rId1"/>
    <sheet name="PLAN PENSUM IELE CBU3 PC" sheetId="44" r:id="rId2"/>
    <sheet name="PLAN PENSUM IELC CBU3" sheetId="45" r:id="rId3"/>
    <sheet name="PLAN PENSUM IELC CBU3 PC" sheetId="46" r:id="rId4"/>
    <sheet name="PLAN PENSUM DOBLE  CBU3" sheetId="48" r:id="rId5"/>
  </sheets>
  <definedNames>
    <definedName name="_xlnm._FilterDatabase" localSheetId="0" hidden="1">'PLAN PENSUM IELE CBU3'!$A$3:$T$9</definedName>
    <definedName name="_xlnm._FilterDatabase" localSheetId="1" hidden="1">'PLAN PENSUM IELE CBU3 PC'!$A$3:$T$9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5" l="1"/>
  <c r="D60" i="48"/>
  <c r="D27" i="48"/>
  <c r="Q78" i="48"/>
  <c r="P78" i="48"/>
  <c r="O78" i="48"/>
  <c r="N78" i="48"/>
  <c r="M78" i="48"/>
  <c r="L78" i="48"/>
  <c r="K78" i="48"/>
  <c r="J78" i="48"/>
  <c r="I78" i="48"/>
  <c r="G78" i="48"/>
  <c r="D76" i="48"/>
  <c r="D69" i="48"/>
  <c r="D52" i="48"/>
  <c r="D44" i="48"/>
  <c r="D36" i="48"/>
  <c r="D18" i="48"/>
  <c r="D9" i="48"/>
  <c r="D59" i="46"/>
  <c r="D18" i="46"/>
  <c r="D27" i="46"/>
  <c r="P70" i="46"/>
  <c r="O70" i="46"/>
  <c r="N70" i="46"/>
  <c r="M70" i="46"/>
  <c r="L70" i="46"/>
  <c r="K70" i="46"/>
  <c r="J70" i="46"/>
  <c r="I70" i="46"/>
  <c r="G70" i="46"/>
  <c r="D68" i="46"/>
  <c r="D51" i="46"/>
  <c r="D43" i="46"/>
  <c r="D35" i="46"/>
  <c r="D10" i="46"/>
  <c r="P70" i="45"/>
  <c r="O70" i="45"/>
  <c r="N70" i="45"/>
  <c r="M70" i="45"/>
  <c r="L70" i="45"/>
  <c r="K70" i="45"/>
  <c r="J70" i="45"/>
  <c r="I70" i="45"/>
  <c r="G70" i="45"/>
  <c r="D68" i="45"/>
  <c r="D60" i="45"/>
  <c r="D52" i="45"/>
  <c r="D43" i="45"/>
  <c r="D35" i="45"/>
  <c r="D18" i="45"/>
  <c r="D9" i="45"/>
  <c r="D43" i="44"/>
  <c r="D59" i="44"/>
  <c r="P70" i="44"/>
  <c r="O70" i="44"/>
  <c r="N70" i="44"/>
  <c r="M70" i="44"/>
  <c r="L70" i="44"/>
  <c r="K70" i="44"/>
  <c r="J70" i="44"/>
  <c r="I70" i="44"/>
  <c r="G70" i="44"/>
  <c r="D68" i="44"/>
  <c r="D51" i="44"/>
  <c r="D34" i="44"/>
  <c r="D26" i="44"/>
  <c r="D18" i="44"/>
  <c r="D9" i="44"/>
  <c r="D52" i="43"/>
  <c r="P70" i="43"/>
  <c r="O70" i="43"/>
  <c r="N70" i="43"/>
  <c r="M70" i="43"/>
  <c r="L70" i="43"/>
  <c r="K70" i="43"/>
  <c r="J70" i="43"/>
  <c r="I70" i="43"/>
  <c r="G70" i="43"/>
  <c r="D68" i="43"/>
  <c r="D60" i="43"/>
  <c r="D44" i="43"/>
  <c r="D36" i="43"/>
  <c r="D18" i="43"/>
  <c r="D9" i="43"/>
  <c r="Q70" i="45" l="1"/>
  <c r="Q70" i="44"/>
  <c r="Q70" i="43"/>
  <c r="Q70" i="46"/>
  <c r="R78" i="48"/>
  <c r="D70" i="44" l="1"/>
  <c r="D70" i="46"/>
  <c r="D78" i="48"/>
  <c r="D70" i="45"/>
  <c r="D70" i="43"/>
  <c r="D27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I2" authorId="0" shapeId="0" xr:uid="{DD46F3A8-52F6-4FC4-A125-AAE2AB9F32D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Eliminar los cursos ya tomados y reorganizar los cursos faltantes de acuerdo a un plan personal.
</t>
        </r>
      </text>
    </comment>
    <comment ref="G3" authorId="0" shapeId="0" xr:uid="{55E84EC4-2327-47D7-A2FE-831A950D47E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Eliminar de esta columna los cursos ya tomados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I2" authorId="0" shapeId="0" xr:uid="{2B0025B2-C82A-47A9-A8AA-B6C72CFB508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Eliminar los cursos ya tomados y reorganizar los cursos faltantes de acuerdo a un plan personal.
</t>
        </r>
      </text>
    </comment>
    <comment ref="G3" authorId="0" shapeId="0" xr:uid="{2ACB1085-F3D7-469E-9243-10A3FE71333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Eliminar de esta columna los cursos ya tomados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I2" authorId="0" shapeId="0" xr:uid="{8F8DF34B-FA2C-49DF-BB37-0A728B8BD7B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Eliminar los cursos ya tomados y reorganizar los cursos faltantes de acuerdo a un plan personal.
</t>
        </r>
      </text>
    </comment>
    <comment ref="G3" authorId="0" shapeId="0" xr:uid="{FD1D3CB8-4DC5-4934-9131-85FFD4F646D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Eliminar de esta columna los cursos ya tomados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I2" authorId="0" shapeId="0" xr:uid="{FF92864D-411A-4A82-8995-88981F1C734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Eliminar los cursos ya tomados y reorganizar los cursos faltantes de acuerdo a un plan personal.
</t>
        </r>
      </text>
    </comment>
    <comment ref="G3" authorId="0" shapeId="0" xr:uid="{8001CE4B-EF60-4886-B6C8-95D0EEAFDFC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Eliminar de esta columna los cursos ya tomados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I2" authorId="0" shapeId="0" xr:uid="{CAF59B27-23FD-4437-874B-F0CA2D6B777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Eliminar los cursos ya tomados y reorganizar los cursos faltantes de acuerdo a un plan personal.
</t>
        </r>
      </text>
    </comment>
    <comment ref="G3" authorId="0" shapeId="0" xr:uid="{0FDEF555-5799-49E1-9F1A-A8A667A7071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Eliminar de esta columna los cursos ya tomados</t>
        </r>
      </text>
    </comment>
  </commentList>
</comments>
</file>

<file path=xl/sharedStrings.xml><?xml version="1.0" encoding="utf-8"?>
<sst xmlns="http://schemas.openxmlformats.org/spreadsheetml/2006/main" count="668" uniqueCount="140">
  <si>
    <t>Programa REFORMADO Modelo (Sugerido)</t>
  </si>
  <si>
    <t>PRECÁLCULO</t>
  </si>
  <si>
    <t>PROYECTO RETOS IELE</t>
  </si>
  <si>
    <t>PROYECTO RETOS IELC</t>
  </si>
  <si>
    <t>INTRODUCCIÓN A LA PROGRAMACIÓN</t>
  </si>
  <si>
    <t>FUNDAMENTOS SISTEMAS DIGITALES</t>
  </si>
  <si>
    <t>CÁLCULO DIFERENCIAL</t>
  </si>
  <si>
    <t>TALLER IEE 1</t>
  </si>
  <si>
    <t>FUNDAMENTOS DE CIRCUITOS</t>
  </si>
  <si>
    <t>CÁLCULO INTEGRAL CON EC. DIF.</t>
  </si>
  <si>
    <t>ALGEBRA LINEAL</t>
  </si>
  <si>
    <t>CBU</t>
  </si>
  <si>
    <t>CICLO BÁSICO UNIANDINO</t>
  </si>
  <si>
    <t>TALLER IEE 2</t>
  </si>
  <si>
    <t>SEÑALES</t>
  </si>
  <si>
    <t>CÁLCULO VECTORIAL</t>
  </si>
  <si>
    <t>VARIABLE COMPLEJA (INGENIERÍA)</t>
  </si>
  <si>
    <t>CONSTITUCIÓN Y DEMOCRACIA</t>
  </si>
  <si>
    <t>PROYECTO FORMULACIÓN Y GESTIÓN</t>
  </si>
  <si>
    <t>PROBABILIDAD Y ESTADÍSITICA</t>
  </si>
  <si>
    <t>TEORÍA ELECTROMAGNÉTICA</t>
  </si>
  <si>
    <t>FUNDAMENTOS DE ELECTRÓNICA</t>
  </si>
  <si>
    <t>DISEÑO DE SISTEMAS DIGITALES</t>
  </si>
  <si>
    <t>ECUACIONES DIFERENCIALES IEE</t>
  </si>
  <si>
    <t>MATE 1207</t>
  </si>
  <si>
    <t>COMUNICACIONES</t>
  </si>
  <si>
    <t>ANÁLISIS DE SISTEMAS DE CONTROL</t>
  </si>
  <si>
    <t>COMPUTACIÓN CIENTÍFICA</t>
  </si>
  <si>
    <t>ANÁLISIS DE SISTEMAS DE POTENCIA</t>
  </si>
  <si>
    <t>PROYECTO INGENIERIA EE</t>
  </si>
  <si>
    <t>REDES DE TELECOMUNICACIONES</t>
  </si>
  <si>
    <t>IELE 2402</t>
  </si>
  <si>
    <t>OPTIMIZACIÓN</t>
  </si>
  <si>
    <t>ELECTRÓNICA DE POTENCIA</t>
  </si>
  <si>
    <t>IELE 2100</t>
  </si>
  <si>
    <t>ELECTRÓNICA ANÁLOGA</t>
  </si>
  <si>
    <t>ECONOMÍA DE SISTEMAS DE POTENCIA</t>
  </si>
  <si>
    <t>INSTRUMENTACIÓN ELECTRÓNICA</t>
  </si>
  <si>
    <t>ELECTIVA IELE</t>
  </si>
  <si>
    <t>ANÁLISIS Y ESTIMACIÓN SD</t>
  </si>
  <si>
    <t>MATERIALES PARA IEE</t>
  </si>
  <si>
    <t>ARQUITECTURA Y TECNOLOGÍA DE SISTEMAS DIGITALES</t>
  </si>
  <si>
    <t>IELE 2202</t>
  </si>
  <si>
    <t>EFI</t>
  </si>
  <si>
    <t>ELECTIVA EN FUNDAMENTOS DE INGENIERÍA</t>
  </si>
  <si>
    <t>CLE</t>
  </si>
  <si>
    <t>CURSO DE LIBRE ELECCIÓN</t>
  </si>
  <si>
    <t>PROYECTO DE DISEÑO IELE</t>
  </si>
  <si>
    <t>PROYECTO DE DISEÑO IELC</t>
  </si>
  <si>
    <t>CURSO INTEGRADOR</t>
  </si>
  <si>
    <t>Requisitos:</t>
  </si>
  <si>
    <t>FISICA I (REFORMA 202020)</t>
  </si>
  <si>
    <t>FISICA II (REFORMA 202020)</t>
  </si>
  <si>
    <t>ANÁLISIS DE DECISIÓN DE INVERSIÖN</t>
  </si>
  <si>
    <t>Educación General</t>
  </si>
  <si>
    <t> </t>
  </si>
  <si>
    <t>PLAN</t>
  </si>
  <si>
    <t>REVISION</t>
  </si>
  <si>
    <t>SEM 1</t>
  </si>
  <si>
    <t>SEM2</t>
  </si>
  <si>
    <t>SEM3</t>
  </si>
  <si>
    <t>SEM4</t>
  </si>
  <si>
    <t>SEM5</t>
  </si>
  <si>
    <t>SEM6</t>
  </si>
  <si>
    <t>SEM7</t>
  </si>
  <si>
    <t>SEM8</t>
  </si>
  <si>
    <t>SEM9</t>
  </si>
  <si>
    <t>IELE 1218</t>
  </si>
  <si>
    <t>ISIS 1221</t>
  </si>
  <si>
    <t>IELE 1200</t>
  </si>
  <si>
    <t>MATE 1203</t>
  </si>
  <si>
    <t>IELE 1081</t>
  </si>
  <si>
    <t>IELE 1002</t>
  </si>
  <si>
    <t>MATE 1214</t>
  </si>
  <si>
    <t>MATE 1105</t>
  </si>
  <si>
    <t>FISI 1518</t>
  </si>
  <si>
    <t>IELE 1082</t>
  </si>
  <si>
    <t>IELE 2500</t>
  </si>
  <si>
    <t>MATE 2210</t>
  </si>
  <si>
    <t>FISI 1528</t>
  </si>
  <si>
    <t>DERE 1300</t>
  </si>
  <si>
    <t>IELE 2206</t>
  </si>
  <si>
    <t>IELE 2218</t>
  </si>
  <si>
    <t>IIND 2106</t>
  </si>
  <si>
    <t>IELE 2002</t>
  </si>
  <si>
    <t>IELE xxxx</t>
  </si>
  <si>
    <t>ECUACIONES DIFERENCIALES</t>
  </si>
  <si>
    <t>IIND 2401</t>
  </si>
  <si>
    <t>IELE 2300</t>
  </si>
  <si>
    <t>IELE 2009</t>
  </si>
  <si>
    <t>IELE 2010</t>
  </si>
  <si>
    <t>IELE 301X</t>
  </si>
  <si>
    <t>IELE 3402</t>
  </si>
  <si>
    <t>IELE 3006</t>
  </si>
  <si>
    <t>IELE 3206</t>
  </si>
  <si>
    <t>IELE ELECTIVA</t>
  </si>
  <si>
    <t>IELE 3502</t>
  </si>
  <si>
    <t>IELE 3222</t>
  </si>
  <si>
    <t>IELE CI</t>
  </si>
  <si>
    <t>IELE 3218</t>
  </si>
  <si>
    <t>Total</t>
  </si>
  <si>
    <t>TOTAL</t>
  </si>
  <si>
    <t>INGENIERÍA ELÉCTRICA</t>
  </si>
  <si>
    <t>Primer Semestre</t>
  </si>
  <si>
    <t>IELE 1118</t>
  </si>
  <si>
    <t>Total Credit Hours:</t>
  </si>
  <si>
    <t>Segundo Semestre</t>
  </si>
  <si>
    <t>Tercer Semestre</t>
  </si>
  <si>
    <t>ELEMENTOS DE SISTEMAS ELÉCTRICOS</t>
  </si>
  <si>
    <t>VARIABLE COMPLEJA (INGENIERÏA)</t>
  </si>
  <si>
    <t>Cuarto Semestre</t>
  </si>
  <si>
    <t>PY: FORMULACIÓN Y GESTIÓN</t>
  </si>
  <si>
    <t>IELE 2150</t>
  </si>
  <si>
    <t>TRANSICIÓN ENERGÉTICA Y ENERG. RENOV.</t>
  </si>
  <si>
    <t>Quinto Semestre</t>
  </si>
  <si>
    <t>IELE 3102</t>
  </si>
  <si>
    <t>Sexto Semestre</t>
  </si>
  <si>
    <t>IELE 3106</t>
  </si>
  <si>
    <t>IELE 3110</t>
  </si>
  <si>
    <t>Septimo Semestre</t>
  </si>
  <si>
    <t>Octavo Semestre</t>
  </si>
  <si>
    <t>IELE 3118</t>
  </si>
  <si>
    <t xml:space="preserve">ESCR </t>
  </si>
  <si>
    <t>PENSAR, COMUNICAR Y COLABORAR</t>
  </si>
  <si>
    <t>Internacionalización</t>
  </si>
  <si>
    <t>SaberPro</t>
  </si>
  <si>
    <t>MATE 1201</t>
  </si>
  <si>
    <t>INGENIERÍA ELECTRÓNICA</t>
  </si>
  <si>
    <t>PROYECTO DE INGENIERÍA IEE</t>
  </si>
  <si>
    <t>MATE</t>
  </si>
  <si>
    <t>IELE 3018</t>
  </si>
  <si>
    <t>ARQ Y TECNOLOGÍA DE SISTEMAS DIGITALES</t>
  </si>
  <si>
    <t>DOBLE INGENIERÍA ELECTRÓNICA  + INGENIERÍA ELECTRICA</t>
  </si>
  <si>
    <t>Programa Sugerido</t>
  </si>
  <si>
    <t>IELE 1X18</t>
  </si>
  <si>
    <t>PROYECTO RETOS IELX</t>
  </si>
  <si>
    <t>PROYECTO DE INGENIERÍA</t>
  </si>
  <si>
    <t>Noveno Semestre</t>
  </si>
  <si>
    <t>Programa REFORMADO Modelo (Sugerido iniciando con Precálculo)</t>
  </si>
  <si>
    <t>Programa REFORMADO Modelo (Sugerido iniciando con precálculo)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</si>
</sst>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4F5C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Arial"/>
      <family val="2"/>
    </font>
    <font>
      <b/>
      <sz val="10.5"/>
      <color rgb="FF004F5C"/>
      <name val="Arial"/>
      <family val="2"/>
    </font>
    <font>
      <b/>
      <sz val="11"/>
      <color rgb="FF333333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i/>
      <sz val="9"/>
      <color rgb="FF333333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4F5C"/>
      </left>
      <right/>
      <top/>
      <bottom/>
      <diagonal/>
    </border>
    <border>
      <left/>
      <right style="medium">
        <color rgb="FF004F5C"/>
      </right>
      <top/>
      <bottom/>
      <diagonal/>
    </border>
    <border>
      <left style="medium">
        <color rgb="FF004F5C"/>
      </left>
      <right/>
      <top/>
      <bottom style="medium">
        <color rgb="FF004F5C"/>
      </bottom>
      <diagonal/>
    </border>
    <border>
      <left/>
      <right/>
      <top/>
      <bottom style="medium">
        <color rgb="FF004F5C"/>
      </bottom>
      <diagonal/>
    </border>
    <border>
      <left/>
      <right style="medium">
        <color rgb="FF004F5C"/>
      </right>
      <top style="medium">
        <color rgb="FFAAAAAA"/>
      </top>
      <bottom style="medium">
        <color rgb="FF004F5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7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/>
    <xf numFmtId="0" fontId="4" fillId="2" borderId="2" xfId="0" applyFont="1" applyFill="1" applyBorder="1" applyAlignment="1">
      <alignment horizontal="center" vertical="center" wrapText="1"/>
    </xf>
    <xf numFmtId="0" fontId="6" fillId="2" borderId="9" xfId="1" applyFill="1" applyBorder="1" applyAlignment="1">
      <alignment horizontal="left"/>
    </xf>
    <xf numFmtId="0" fontId="4" fillId="2" borderId="3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6" fillId="2" borderId="9" xfId="1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top" wrapText="1"/>
    </xf>
    <xf numFmtId="0" fontId="3" fillId="2" borderId="4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0" fillId="2" borderId="14" xfId="0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center" vertical="center" wrapText="1"/>
    </xf>
    <xf numFmtId="0" fontId="6" fillId="2" borderId="12" xfId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9" fillId="2" borderId="0" xfId="0" applyFont="1" applyFill="1" applyAlignment="1">
      <alignment horizontal="center" vertical="center" wrapText="1"/>
    </xf>
    <xf numFmtId="0" fontId="6" fillId="2" borderId="0" xfId="1" applyFill="1"/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6" fillId="2" borderId="10" xfId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0" fontId="14" fillId="5" borderId="17" xfId="0" applyFont="1" applyFill="1" applyBorder="1" applyAlignment="1">
      <alignment horizontal="center"/>
    </xf>
    <xf numFmtId="0" fontId="6" fillId="2" borderId="18" xfId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6" fillId="2" borderId="21" xfId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left" vertical="top" wrapText="1"/>
    </xf>
    <xf numFmtId="0" fontId="3" fillId="2" borderId="24" xfId="0" applyFont="1" applyFill="1" applyBorder="1" applyAlignment="1">
      <alignment vertical="center" wrapText="1"/>
    </xf>
    <xf numFmtId="0" fontId="3" fillId="2" borderId="25" xfId="0" applyFont="1" applyFill="1" applyBorder="1" applyAlignment="1">
      <alignment vertical="center" wrapText="1"/>
    </xf>
    <xf numFmtId="0" fontId="0" fillId="2" borderId="18" xfId="0" applyFill="1" applyBorder="1" applyAlignment="1">
      <alignment horizontal="left" vertical="top" wrapText="1"/>
    </xf>
    <xf numFmtId="0" fontId="4" fillId="2" borderId="21" xfId="0" applyFont="1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/>
    </xf>
    <xf numFmtId="0" fontId="0" fillId="2" borderId="22" xfId="0" applyFill="1" applyBorder="1"/>
    <xf numFmtId="0" fontId="6" fillId="5" borderId="9" xfId="2" applyFill="1" applyBorder="1" applyAlignment="1"/>
    <xf numFmtId="0" fontId="14" fillId="5" borderId="0" xfId="0" applyFont="1" applyFill="1"/>
    <xf numFmtId="0" fontId="4" fillId="5" borderId="3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left" vertical="center" wrapText="1"/>
    </xf>
    <xf numFmtId="0" fontId="14" fillId="5" borderId="9" xfId="0" applyFont="1" applyFill="1" applyBorder="1"/>
    <xf numFmtId="0" fontId="14" fillId="5" borderId="17" xfId="0" applyFont="1" applyFill="1" applyBorder="1"/>
    <xf numFmtId="0" fontId="14" fillId="5" borderId="3" xfId="0" applyFont="1" applyFill="1" applyBorder="1" applyAlignment="1">
      <alignment horizontal="center"/>
    </xf>
    <xf numFmtId="0" fontId="0" fillId="2" borderId="21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top" wrapText="1"/>
    </xf>
    <xf numFmtId="0" fontId="5" fillId="4" borderId="0" xfId="0" applyFont="1" applyFill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4" borderId="9" xfId="1" applyFill="1" applyBorder="1" applyAlignment="1">
      <alignment horizontal="left" vertical="center" wrapText="1"/>
    </xf>
    <xf numFmtId="0" fontId="12" fillId="4" borderId="10" xfId="0" applyFont="1" applyFill="1" applyBorder="1" applyAlignment="1">
      <alignment horizontal="left" vertical="top" wrapText="1"/>
    </xf>
    <xf numFmtId="0" fontId="12" fillId="4" borderId="11" xfId="0" applyFont="1" applyFill="1" applyBorder="1"/>
    <xf numFmtId="0" fontId="13" fillId="4" borderId="2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left" vertical="top" wrapText="1"/>
    </xf>
    <xf numFmtId="0" fontId="5" fillId="3" borderId="0" xfId="0" applyFont="1" applyFill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3" borderId="9" xfId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/>
    <xf numFmtId="0" fontId="4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7" xfId="0" applyFill="1" applyBorder="1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FFFF66"/>
      <color rgb="FFF4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talogo.uniandes.edu.co/2017/Catalogo/Cursos/GENERALES-Y-REQUISITOS/CLE" TargetMode="External"/><Relationship Id="rId13" Type="http://schemas.openxmlformats.org/officeDocument/2006/relationships/hyperlink" Target="https://catalogo.uniandes.edu.co/2017/Catalogo/Cursos/MATE/1000/MATE-1207" TargetMode="External"/><Relationship Id="rId18" Type="http://schemas.openxmlformats.org/officeDocument/2006/relationships/hyperlink" Target="https://catalogo.uniandes.edu.co/2017/Catalogo/Cursos/GENERALES-Y-REQUISITOS/CBU" TargetMode="External"/><Relationship Id="rId26" Type="http://schemas.openxmlformats.org/officeDocument/2006/relationships/hyperlink" Target="https://catalogo.uniandes.edu.co/2017/Catalogo/Cursos/IIND/2000/IIND-2401" TargetMode="External"/><Relationship Id="rId3" Type="http://schemas.openxmlformats.org/officeDocument/2006/relationships/hyperlink" Target="https://catalogo.uniandes.edu.co/2017/Catalogo/Cursos/IELE/2000/IELE-2300" TargetMode="External"/><Relationship Id="rId21" Type="http://schemas.openxmlformats.org/officeDocument/2006/relationships/hyperlink" Target="https://catalogo.uniandes.edu.co/2017/Catalogo/Cursos/IELE/Generales/XXXX-Electiva-en-Fundamentos-de-Ingenier-237-a-3" TargetMode="External"/><Relationship Id="rId7" Type="http://schemas.openxmlformats.org/officeDocument/2006/relationships/hyperlink" Target="https://catalogo.uniandes.edu.co/2017/Catalogo/Cursos/IELE/3000/IELE-3006" TargetMode="External"/><Relationship Id="rId12" Type="http://schemas.openxmlformats.org/officeDocument/2006/relationships/hyperlink" Target="https://catalogo.uniandes.edu.co/2017/Catalogo/Cursos/MATE/1000/MATE-1214" TargetMode="External"/><Relationship Id="rId17" Type="http://schemas.openxmlformats.org/officeDocument/2006/relationships/hyperlink" Target="https://catalogo.uniandes.edu.co/2017/Catalogo/Cursos/GENERALES-Y-REQUISITOS/CLE" TargetMode="External"/><Relationship Id="rId25" Type="http://schemas.openxmlformats.org/officeDocument/2006/relationships/hyperlink" Target="https://catalogo.uniandes.edu.co/2017/Catalogo/Cursos/IIND/2000/IIND-2106" TargetMode="External"/><Relationship Id="rId2" Type="http://schemas.openxmlformats.org/officeDocument/2006/relationships/hyperlink" Target="https://catalogo.uniandes.edu.co/2017/Catalogo/Cursos/IELE/2000/IELE-2500" TargetMode="External"/><Relationship Id="rId16" Type="http://schemas.openxmlformats.org/officeDocument/2006/relationships/hyperlink" Target="https://catalogo.uniandes.edu.co/2017/Catalogo/Cursos/GENERALES-Y-REQUISITOS/CBU" TargetMode="External"/><Relationship Id="rId20" Type="http://schemas.openxmlformats.org/officeDocument/2006/relationships/hyperlink" Target="https://catalogo.uniandes.edu.co/2017/Catalogo/Cursos/IELE/2000/IELE-2010" TargetMode="External"/><Relationship Id="rId29" Type="http://schemas.openxmlformats.org/officeDocument/2006/relationships/hyperlink" Target="https://catalogo.uniandes.edu.co/2017/Catalogo/Cursos/GENERALES-Y-REQUISITOS/CBU" TargetMode="External"/><Relationship Id="rId1" Type="http://schemas.openxmlformats.org/officeDocument/2006/relationships/hyperlink" Target="https://catalogo.uniandes.edu.co/2017/Catalogo/Cursos/IELE/2000/IELE-2002" TargetMode="External"/><Relationship Id="rId6" Type="http://schemas.openxmlformats.org/officeDocument/2006/relationships/hyperlink" Target="https://catalogo.uniandes.edu.co/2017/Catalogo/Cursos/IELE/3000/IELE-3110" TargetMode="External"/><Relationship Id="rId11" Type="http://schemas.openxmlformats.org/officeDocument/2006/relationships/hyperlink" Target="https://catalogo.uniandes.edu.co/2017/Catalogo/Cursos/MATE/1000/MATE-1105" TargetMode="External"/><Relationship Id="rId24" Type="http://schemas.openxmlformats.org/officeDocument/2006/relationships/hyperlink" Target="https://catalogo.uniandes.edu.co/2017/Catalogo/Cursos/IELE/2000/IELE-2206" TargetMode="External"/><Relationship Id="rId5" Type="http://schemas.openxmlformats.org/officeDocument/2006/relationships/hyperlink" Target="https://catalogo.uniandes.edu.co/2017/Catalogo/Cursos/GENERALES-Y-REQUISITOS/CBU" TargetMode="External"/><Relationship Id="rId15" Type="http://schemas.openxmlformats.org/officeDocument/2006/relationships/hyperlink" Target="https://catalogo.uniandes.edu.co/2017/Catalogo/Cursos/DERE/1000/DERE-1300" TargetMode="External"/><Relationship Id="rId23" Type="http://schemas.openxmlformats.org/officeDocument/2006/relationships/hyperlink" Target="http://uniandes.smartcatalogiq.com/Catalogo-general-2022/Catalogo/Cursos/ISIS/1000/ISIS-1221" TargetMode="External"/><Relationship Id="rId28" Type="http://schemas.openxmlformats.org/officeDocument/2006/relationships/hyperlink" Target="https://catalogo.uniandes.edu.co/2017/Catalogo/Cursos/IELE/2000/IELE-2009" TargetMode="External"/><Relationship Id="rId10" Type="http://schemas.openxmlformats.org/officeDocument/2006/relationships/hyperlink" Target="https://catalogo.uniandes.edu.co/2017/Catalogo/Cursos/GENERALES-Y-REQUISITOS/REQESPA" TargetMode="External"/><Relationship Id="rId19" Type="http://schemas.openxmlformats.org/officeDocument/2006/relationships/hyperlink" Target="https://catalogo.uniandes.edu.co/2017/Catalogo/Cursos/GENERALES-Y-REQUISITOS/CBU" TargetMode="External"/><Relationship Id="rId31" Type="http://schemas.openxmlformats.org/officeDocument/2006/relationships/comments" Target="../comments1.xml"/><Relationship Id="rId4" Type="http://schemas.openxmlformats.org/officeDocument/2006/relationships/hyperlink" Target="https://catalogo.uniandes.edu.co/2017/Catalogo/Cursos/IELE/3000/IELE-3102" TargetMode="External"/><Relationship Id="rId9" Type="http://schemas.openxmlformats.org/officeDocument/2006/relationships/hyperlink" Target="https://catalogo.uniandes.edu.co/2017/Catalogo/Cursos/GENERALES-Y-REQUISITOS/CBU" TargetMode="External"/><Relationship Id="rId14" Type="http://schemas.openxmlformats.org/officeDocument/2006/relationships/hyperlink" Target="https://catalogo.uniandes.edu.co/2017/Catalogo/Cursos/MATE/2000/MATE-2210" TargetMode="External"/><Relationship Id="rId22" Type="http://schemas.openxmlformats.org/officeDocument/2006/relationships/hyperlink" Target="https://catalogo.uniandes.edu.co/2017/Catalogo/Cursos/MATE/1000/MATE-1203" TargetMode="External"/><Relationship Id="rId27" Type="http://schemas.openxmlformats.org/officeDocument/2006/relationships/hyperlink" Target="https://catalogo.uniandes.edu.co/2017/Catalogo/Cursos/IELE/2000/IELE-2402" TargetMode="External"/><Relationship Id="rId30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talogo.uniandes.edu.co/2017/Catalogo/Cursos/GENERALES-Y-REQUISITOS/REQESPA" TargetMode="External"/><Relationship Id="rId13" Type="http://schemas.openxmlformats.org/officeDocument/2006/relationships/hyperlink" Target="https://catalogo.uniandes.edu.co/2017/Catalogo/Cursos/IELE/2000/IELE-2010" TargetMode="External"/><Relationship Id="rId18" Type="http://schemas.openxmlformats.org/officeDocument/2006/relationships/hyperlink" Target="https://catalogo.uniandes.edu.co/2017/Catalogo/Cursos/IELE/2000/IELE-2009" TargetMode="External"/><Relationship Id="rId26" Type="http://schemas.openxmlformats.org/officeDocument/2006/relationships/hyperlink" Target="https://catalogo.uniandes.edu.co/2017/Catalogo/Cursos/GENERALES-Y-REQUISITOS/CBU" TargetMode="External"/><Relationship Id="rId3" Type="http://schemas.openxmlformats.org/officeDocument/2006/relationships/hyperlink" Target="https://catalogo.uniandes.edu.co/2017/Catalogo/Cursos/IELE/3000/IELE-3102" TargetMode="External"/><Relationship Id="rId21" Type="http://schemas.openxmlformats.org/officeDocument/2006/relationships/hyperlink" Target="https://catalogo.uniandes.edu.co/2017/Catalogo/Cursos/MATE/1000/MATE-1203" TargetMode="External"/><Relationship Id="rId7" Type="http://schemas.openxmlformats.org/officeDocument/2006/relationships/hyperlink" Target="https://catalogo.uniandes.edu.co/2017/Catalogo/Cursos/GENERALES-Y-REQUISITOS/CBU" TargetMode="External"/><Relationship Id="rId12" Type="http://schemas.openxmlformats.org/officeDocument/2006/relationships/hyperlink" Target="https://catalogo.uniandes.edu.co/2017/Catalogo/Cursos/GENERALES-Y-REQUISITOS/CLE" TargetMode="External"/><Relationship Id="rId17" Type="http://schemas.openxmlformats.org/officeDocument/2006/relationships/hyperlink" Target="https://catalogo.uniandes.edu.co/2017/Catalogo/Cursos/IELE/2000/IELE-2402" TargetMode="External"/><Relationship Id="rId25" Type="http://schemas.openxmlformats.org/officeDocument/2006/relationships/hyperlink" Target="https://catalogo.uniandes.edu.co/2017/Catalogo/Cursos/IELE/2000/IELE-2500" TargetMode="External"/><Relationship Id="rId2" Type="http://schemas.openxmlformats.org/officeDocument/2006/relationships/hyperlink" Target="https://catalogo.uniandes.edu.co/2017/Catalogo/Cursos/IELE/2000/IELE-2300" TargetMode="External"/><Relationship Id="rId16" Type="http://schemas.openxmlformats.org/officeDocument/2006/relationships/hyperlink" Target="https://catalogo.uniandes.edu.co/2017/Catalogo/Cursos/IIND/2000/IIND-2106" TargetMode="External"/><Relationship Id="rId20" Type="http://schemas.openxmlformats.org/officeDocument/2006/relationships/hyperlink" Target="https://catalogo.uniandes.edu.co/2017/Catalogo/Cursos/MATE/1000/MATE-1105" TargetMode="External"/><Relationship Id="rId29" Type="http://schemas.openxmlformats.org/officeDocument/2006/relationships/vmlDrawing" Target="../drawings/vmlDrawing2.vml"/><Relationship Id="rId1" Type="http://schemas.openxmlformats.org/officeDocument/2006/relationships/hyperlink" Target="https://catalogo.uniandes.edu.co/2017/Catalogo/Cursos/IELE/2000/IELE-2002" TargetMode="External"/><Relationship Id="rId6" Type="http://schemas.openxmlformats.org/officeDocument/2006/relationships/hyperlink" Target="https://catalogo.uniandes.edu.co/2017/Catalogo/Cursos/IELE/3000/IELE-3006" TargetMode="External"/><Relationship Id="rId11" Type="http://schemas.openxmlformats.org/officeDocument/2006/relationships/hyperlink" Target="https://catalogo.uniandes.edu.co/2017/Catalogo/Cursos/GENERALES-Y-REQUISITOS/CBU" TargetMode="External"/><Relationship Id="rId24" Type="http://schemas.openxmlformats.org/officeDocument/2006/relationships/hyperlink" Target="https://catalogo.uniandes.edu.co/2017/Catalogo/Cursos/GENERALES-Y-REQUISITOS/CBU" TargetMode="External"/><Relationship Id="rId5" Type="http://schemas.openxmlformats.org/officeDocument/2006/relationships/hyperlink" Target="https://catalogo.uniandes.edu.co/2017/Catalogo/Cursos/IELE/3000/IELE-3110" TargetMode="External"/><Relationship Id="rId15" Type="http://schemas.openxmlformats.org/officeDocument/2006/relationships/hyperlink" Target="https://catalogo.uniandes.edu.co/2017/Catalogo/Cursos/IELE/2000/IELE-2206" TargetMode="External"/><Relationship Id="rId23" Type="http://schemas.openxmlformats.org/officeDocument/2006/relationships/hyperlink" Target="https://catalogo.uniandes.edu.co/2017/Catalogo/Cursos/DERE/1000/DERE-1300" TargetMode="External"/><Relationship Id="rId28" Type="http://schemas.openxmlformats.org/officeDocument/2006/relationships/hyperlink" Target="https://catalogo.uniandes.edu.co/2017/Catalogo/Cursos/GENERALES-Y-REQUISITOS/CBU" TargetMode="External"/><Relationship Id="rId10" Type="http://schemas.openxmlformats.org/officeDocument/2006/relationships/hyperlink" Target="https://catalogo.uniandes.edu.co/2017/Catalogo/Cursos/MATE/2000/MATE-2210" TargetMode="External"/><Relationship Id="rId19" Type="http://schemas.openxmlformats.org/officeDocument/2006/relationships/hyperlink" Target="https://catalogo.uniandes.edu.co/2017/Catalogo/Cursos/MATE/1000/MATE-1214" TargetMode="External"/><Relationship Id="rId4" Type="http://schemas.openxmlformats.org/officeDocument/2006/relationships/hyperlink" Target="https://catalogo.uniandes.edu.co/2017/Catalogo/Cursos/GENERALES-Y-REQUISITOS/CBU" TargetMode="External"/><Relationship Id="rId9" Type="http://schemas.openxmlformats.org/officeDocument/2006/relationships/hyperlink" Target="https://catalogo.uniandes.edu.co/2017/Catalogo/Cursos/MATE/1000/MATE-1207" TargetMode="External"/><Relationship Id="rId14" Type="http://schemas.openxmlformats.org/officeDocument/2006/relationships/hyperlink" Target="http://uniandes.smartcatalogiq.com/Catalogo-general-2022/Catalogo/Cursos/ISIS/1000/ISIS-1221" TargetMode="External"/><Relationship Id="rId22" Type="http://schemas.openxmlformats.org/officeDocument/2006/relationships/hyperlink" Target="https://catalogo.uniandes.edu.co/2017/Catalogo/Cursos/IELE/Generales/XXXX-Electiva-en-Fundamentos-de-Ingenier-237-a-3" TargetMode="External"/><Relationship Id="rId27" Type="http://schemas.openxmlformats.org/officeDocument/2006/relationships/hyperlink" Target="https://catalogo.uniandes.edu.co/2017/Catalogo/Cursos/IIND/2000/IIND-2401" TargetMode="External"/><Relationship Id="rId30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atalogo.uniandes.edu.co/2017/Catalogo/Cursos/IIND/2000/IIND-2401" TargetMode="External"/><Relationship Id="rId13" Type="http://schemas.openxmlformats.org/officeDocument/2006/relationships/hyperlink" Target="https://catalogo.uniandes.edu.co/2017/Catalogo/Cursos/IELE/2000/IELE-2010" TargetMode="External"/><Relationship Id="rId18" Type="http://schemas.openxmlformats.org/officeDocument/2006/relationships/hyperlink" Target="https://catalogo.uniandes.edu.co/2017/Catalogo/Cursos/IELE/Generales/XXXX-Electiva-en-Fundamentos-de-Ingenier-237-a-3" TargetMode="External"/><Relationship Id="rId26" Type="http://schemas.openxmlformats.org/officeDocument/2006/relationships/comments" Target="../comments3.xml"/><Relationship Id="rId3" Type="http://schemas.openxmlformats.org/officeDocument/2006/relationships/hyperlink" Target="https://catalogo.uniandes.edu.co/2017/Catalogo/Cursos/IELE/2000/IELE-2500" TargetMode="External"/><Relationship Id="rId21" Type="http://schemas.openxmlformats.org/officeDocument/2006/relationships/hyperlink" Target="https://catalogo.uniandes.edu.co/2017/Catalogo/Cursos/GENERALES-Y-REQUISITOS/CLE" TargetMode="External"/><Relationship Id="rId7" Type="http://schemas.openxmlformats.org/officeDocument/2006/relationships/hyperlink" Target="https://catalogo.uniandes.edu.co/2017/Catalogo/Cursos/IELE/2000/IELE-2402" TargetMode="External"/><Relationship Id="rId12" Type="http://schemas.openxmlformats.org/officeDocument/2006/relationships/hyperlink" Target="https://catalogo.uniandes.edu.co/2017/Catalogo/Cursos/GENERALES-Y-REQUISITOS/CBU" TargetMode="External"/><Relationship Id="rId17" Type="http://schemas.openxmlformats.org/officeDocument/2006/relationships/hyperlink" Target="https://catalogo.uniandes.edu.co/2017/Catalogo/Cursos/GENERALES-Y-REQUISITOS/CLE" TargetMode="External"/><Relationship Id="rId25" Type="http://schemas.openxmlformats.org/officeDocument/2006/relationships/vmlDrawing" Target="../drawings/vmlDrawing3.vml"/><Relationship Id="rId2" Type="http://schemas.openxmlformats.org/officeDocument/2006/relationships/hyperlink" Target="https://catalogo.uniandes.edu.co/2017/Catalogo/Cursos/IELE/2000/IELE-2206" TargetMode="External"/><Relationship Id="rId16" Type="http://schemas.openxmlformats.org/officeDocument/2006/relationships/hyperlink" Target="https://catalogo.uniandes.edu.co/2017/Catalogo/Cursos/DERE/1000/DERE-1300" TargetMode="External"/><Relationship Id="rId20" Type="http://schemas.openxmlformats.org/officeDocument/2006/relationships/hyperlink" Target="https://catalogo.uniandes.edu.co/2017/Catalogo/Cursos/IELE/2000/IELE-2010" TargetMode="External"/><Relationship Id="rId1" Type="http://schemas.openxmlformats.org/officeDocument/2006/relationships/hyperlink" Target="https://catalogo.uniandes.edu.co/2017/Catalogo/Cursos/IELE/2000/IELE-2002" TargetMode="External"/><Relationship Id="rId6" Type="http://schemas.openxmlformats.org/officeDocument/2006/relationships/hyperlink" Target="https://catalogo.uniandes.edu.co/2017/Catalogo/Cursos/IELE/2000/IELE-2300" TargetMode="External"/><Relationship Id="rId11" Type="http://schemas.openxmlformats.org/officeDocument/2006/relationships/hyperlink" Target="https://catalogo.uniandes.edu.co/2017/Catalogo/Cursos/GENERALES-Y-REQUISITOS/CLE" TargetMode="External"/><Relationship Id="rId24" Type="http://schemas.openxmlformats.org/officeDocument/2006/relationships/hyperlink" Target="https://catalogo.uniandes.edu.co/2017/Catalogo/Cursos/GENERALES-Y-REQUISITOS/CBU" TargetMode="External"/><Relationship Id="rId5" Type="http://schemas.openxmlformats.org/officeDocument/2006/relationships/hyperlink" Target="https://catalogo.uniandes.edu.co/2017/Catalogo/Cursos/IELE/2000/IELE-2009" TargetMode="External"/><Relationship Id="rId15" Type="http://schemas.openxmlformats.org/officeDocument/2006/relationships/hyperlink" Target="https://catalogo.uniandes.edu.co/2017/Catalogo/Cursos/MATE/2000/MATE-2210" TargetMode="External"/><Relationship Id="rId23" Type="http://schemas.openxmlformats.org/officeDocument/2006/relationships/hyperlink" Target="https://catalogo.uniandes.edu.co/2017/Catalogo/Cursos/GENERALES-Y-REQUISITOS/CBU" TargetMode="External"/><Relationship Id="rId10" Type="http://schemas.openxmlformats.org/officeDocument/2006/relationships/hyperlink" Target="https://catalogo.uniandes.edu.co/2017/Catalogo/Cursos/IELE/3000/IELE-3006" TargetMode="External"/><Relationship Id="rId19" Type="http://schemas.openxmlformats.org/officeDocument/2006/relationships/hyperlink" Target="https://catalogo.uniandes.edu.co/2017/Catalogo/Cursos/MATE/1000/MATE-1214" TargetMode="External"/><Relationship Id="rId4" Type="http://schemas.openxmlformats.org/officeDocument/2006/relationships/hyperlink" Target="https://catalogo.uniandes.edu.co/2017/Catalogo/Cursos/IIND/2000/IIND-2106" TargetMode="External"/><Relationship Id="rId9" Type="http://schemas.openxmlformats.org/officeDocument/2006/relationships/hyperlink" Target="https://catalogo.uniandes.edu.co/2017/Catalogo/Cursos/IELE/3000/IELE-3110" TargetMode="External"/><Relationship Id="rId14" Type="http://schemas.openxmlformats.org/officeDocument/2006/relationships/hyperlink" Target="https://catalogo.uniandes.edu.co/2017/Catalogo/Cursos/MATE/1000/MATE-1207" TargetMode="External"/><Relationship Id="rId22" Type="http://schemas.openxmlformats.org/officeDocument/2006/relationships/hyperlink" Target="http://uniandes.smartcatalogiq.com/Catalogo-general-2022/Catalogo/Cursos/ISIS/1000/ISIS-122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atalogo.uniandes.edu.co/2017/Catalogo/Cursos/IIND/2000/IIND-2401" TargetMode="External"/><Relationship Id="rId13" Type="http://schemas.openxmlformats.org/officeDocument/2006/relationships/hyperlink" Target="https://catalogo.uniandes.edu.co/2017/Catalogo/Cursos/MATE/1000/MATE-1207" TargetMode="External"/><Relationship Id="rId18" Type="http://schemas.openxmlformats.org/officeDocument/2006/relationships/hyperlink" Target="https://catalogo.uniandes.edu.co/2017/Catalogo/Cursos/IELE/2000/IELE-2010" TargetMode="External"/><Relationship Id="rId3" Type="http://schemas.openxmlformats.org/officeDocument/2006/relationships/hyperlink" Target="https://catalogo.uniandes.edu.co/2017/Catalogo/Cursos/IELE/2000/IELE-2500" TargetMode="External"/><Relationship Id="rId21" Type="http://schemas.openxmlformats.org/officeDocument/2006/relationships/hyperlink" Target="https://catalogo.uniandes.edu.co/2017/Catalogo/Cursos/GENERALES-Y-REQUISITOS/CBU" TargetMode="External"/><Relationship Id="rId7" Type="http://schemas.openxmlformats.org/officeDocument/2006/relationships/hyperlink" Target="https://catalogo.uniandes.edu.co/2017/Catalogo/Cursos/IELE/2000/IELE-2402" TargetMode="External"/><Relationship Id="rId12" Type="http://schemas.openxmlformats.org/officeDocument/2006/relationships/hyperlink" Target="https://catalogo.uniandes.edu.co/2017/Catalogo/Cursos/IELE/2000/IELE-2010" TargetMode="External"/><Relationship Id="rId17" Type="http://schemas.openxmlformats.org/officeDocument/2006/relationships/hyperlink" Target="https://catalogo.uniandes.edu.co/2017/Catalogo/Cursos/MATE/1000/MATE-1214" TargetMode="External"/><Relationship Id="rId25" Type="http://schemas.openxmlformats.org/officeDocument/2006/relationships/comments" Target="../comments4.xml"/><Relationship Id="rId2" Type="http://schemas.openxmlformats.org/officeDocument/2006/relationships/hyperlink" Target="https://catalogo.uniandes.edu.co/2017/Catalogo/Cursos/IELE/2000/IELE-2206" TargetMode="External"/><Relationship Id="rId16" Type="http://schemas.openxmlformats.org/officeDocument/2006/relationships/hyperlink" Target="https://catalogo.uniandes.edu.co/2017/Catalogo/Cursos/IELE/Generales/XXXX-Electiva-en-Fundamentos-de-Ingenier-237-a-3" TargetMode="External"/><Relationship Id="rId20" Type="http://schemas.openxmlformats.org/officeDocument/2006/relationships/hyperlink" Target="http://uniandes.smartcatalogiq.com/Catalogo-general-2022/Catalogo/Cursos/ISIS/1000/ISIS-1221" TargetMode="External"/><Relationship Id="rId1" Type="http://schemas.openxmlformats.org/officeDocument/2006/relationships/hyperlink" Target="https://catalogo.uniandes.edu.co/2017/Catalogo/Cursos/IELE/2000/IELE-2002" TargetMode="External"/><Relationship Id="rId6" Type="http://schemas.openxmlformats.org/officeDocument/2006/relationships/hyperlink" Target="https://catalogo.uniandes.edu.co/2017/Catalogo/Cursos/IELE/2000/IELE-2300" TargetMode="External"/><Relationship Id="rId11" Type="http://schemas.openxmlformats.org/officeDocument/2006/relationships/hyperlink" Target="https://catalogo.uniandes.edu.co/2017/Catalogo/Cursos/GENERALES-Y-REQUISITOS/CBU" TargetMode="External"/><Relationship Id="rId24" Type="http://schemas.openxmlformats.org/officeDocument/2006/relationships/vmlDrawing" Target="../drawings/vmlDrawing4.vml"/><Relationship Id="rId5" Type="http://schemas.openxmlformats.org/officeDocument/2006/relationships/hyperlink" Target="https://catalogo.uniandes.edu.co/2017/Catalogo/Cursos/IELE/2000/IELE-2009" TargetMode="External"/><Relationship Id="rId15" Type="http://schemas.openxmlformats.org/officeDocument/2006/relationships/hyperlink" Target="https://catalogo.uniandes.edu.co/2017/Catalogo/Cursos/DERE/1000/DERE-1300" TargetMode="External"/><Relationship Id="rId23" Type="http://schemas.openxmlformats.org/officeDocument/2006/relationships/hyperlink" Target="https://catalogo.uniandes.edu.co/2017/Catalogo/Cursos/IELE/3000/IELE-3110" TargetMode="External"/><Relationship Id="rId10" Type="http://schemas.openxmlformats.org/officeDocument/2006/relationships/hyperlink" Target="https://catalogo.uniandes.edu.co/2017/Catalogo/Cursos/GENERALES-Y-REQUISITOS/CLE" TargetMode="External"/><Relationship Id="rId19" Type="http://schemas.openxmlformats.org/officeDocument/2006/relationships/hyperlink" Target="https://catalogo.uniandes.edu.co/2017/Catalogo/Cursos/GENERALES-Y-REQUISITOS/CLE" TargetMode="External"/><Relationship Id="rId4" Type="http://schemas.openxmlformats.org/officeDocument/2006/relationships/hyperlink" Target="https://catalogo.uniandes.edu.co/2017/Catalogo/Cursos/IIND/2000/IIND-2106" TargetMode="External"/><Relationship Id="rId9" Type="http://schemas.openxmlformats.org/officeDocument/2006/relationships/hyperlink" Target="https://catalogo.uniandes.edu.co/2017/Catalogo/Cursos/IELE/3000/IELE-3006" TargetMode="External"/><Relationship Id="rId14" Type="http://schemas.openxmlformats.org/officeDocument/2006/relationships/hyperlink" Target="https://catalogo.uniandes.edu.co/2017/Catalogo/Cursos/MATE/2000/MATE-2210" TargetMode="External"/><Relationship Id="rId22" Type="http://schemas.openxmlformats.org/officeDocument/2006/relationships/hyperlink" Target="https://catalogo.uniandes.edu.co/2017/Catalogo/Cursos/GENERALES-Y-REQUISITOS/CL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catalogo.uniandes.edu.co/2017/Catalogo/Cursos/IIND/2000/IIND-2401" TargetMode="External"/><Relationship Id="rId13" Type="http://schemas.openxmlformats.org/officeDocument/2006/relationships/hyperlink" Target="https://catalogo.uniandes.edu.co/2017/Catalogo/Cursos/IELE/2000/IELE-2010" TargetMode="External"/><Relationship Id="rId18" Type="http://schemas.openxmlformats.org/officeDocument/2006/relationships/hyperlink" Target="https://catalogo.uniandes.edu.co/2017/Catalogo/Cursos/GENERALES-Y-REQUISITOS/CBU" TargetMode="External"/><Relationship Id="rId26" Type="http://schemas.openxmlformats.org/officeDocument/2006/relationships/vmlDrawing" Target="../drawings/vmlDrawing5.vml"/><Relationship Id="rId3" Type="http://schemas.openxmlformats.org/officeDocument/2006/relationships/hyperlink" Target="https://catalogo.uniandes.edu.co/2017/Catalogo/Cursos/IELE/2000/IELE-2500" TargetMode="External"/><Relationship Id="rId21" Type="http://schemas.openxmlformats.org/officeDocument/2006/relationships/hyperlink" Target="https://catalogo.uniandes.edu.co/2017/Catalogo/Cursos/IELE/3000/IELE-3110" TargetMode="External"/><Relationship Id="rId7" Type="http://schemas.openxmlformats.org/officeDocument/2006/relationships/hyperlink" Target="https://catalogo.uniandes.edu.co/2017/Catalogo/Cursos/IELE/2000/IELE-2402" TargetMode="External"/><Relationship Id="rId12" Type="http://schemas.openxmlformats.org/officeDocument/2006/relationships/hyperlink" Target="https://catalogo.uniandes.edu.co/2017/Catalogo/Cursos/MATE/1000/MATE-1214" TargetMode="External"/><Relationship Id="rId17" Type="http://schemas.openxmlformats.org/officeDocument/2006/relationships/hyperlink" Target="https://catalogo.uniandes.edu.co/2017/Catalogo/Cursos/GENERALES-Y-REQUISITOS/CBU" TargetMode="External"/><Relationship Id="rId25" Type="http://schemas.openxmlformats.org/officeDocument/2006/relationships/hyperlink" Target="https://catalogo.uniandes.edu.co/2017/Catalogo/Cursos/IELE/3000/IELE-3110" TargetMode="External"/><Relationship Id="rId2" Type="http://schemas.openxmlformats.org/officeDocument/2006/relationships/hyperlink" Target="https://catalogo.uniandes.edu.co/2017/Catalogo/Cursos/IELE/2000/IELE-2206" TargetMode="External"/><Relationship Id="rId16" Type="http://schemas.openxmlformats.org/officeDocument/2006/relationships/hyperlink" Target="https://catalogo.uniandes.edu.co/2017/Catalogo/Cursos/DERE/1000/DERE-1300" TargetMode="External"/><Relationship Id="rId20" Type="http://schemas.openxmlformats.org/officeDocument/2006/relationships/hyperlink" Target="https://catalogo.uniandes.edu.co/2017/Catalogo/Cursos/IELE/3000/IELE-3102" TargetMode="External"/><Relationship Id="rId1" Type="http://schemas.openxmlformats.org/officeDocument/2006/relationships/hyperlink" Target="https://catalogo.uniandes.edu.co/2017/Catalogo/Cursos/IELE/2000/IELE-2002" TargetMode="External"/><Relationship Id="rId6" Type="http://schemas.openxmlformats.org/officeDocument/2006/relationships/hyperlink" Target="https://catalogo.uniandes.edu.co/2017/Catalogo/Cursos/IELE/2000/IELE-2300" TargetMode="External"/><Relationship Id="rId11" Type="http://schemas.openxmlformats.org/officeDocument/2006/relationships/hyperlink" Target="https://catalogo.uniandes.edu.co/2017/Catalogo/Cursos/MATE/1000/MATE-1105" TargetMode="External"/><Relationship Id="rId24" Type="http://schemas.openxmlformats.org/officeDocument/2006/relationships/hyperlink" Target="https://catalogo.uniandes.edu.co/2017/Catalogo/Cursos/GENERALES-Y-REQUISITOS/CBU" TargetMode="External"/><Relationship Id="rId5" Type="http://schemas.openxmlformats.org/officeDocument/2006/relationships/hyperlink" Target="https://catalogo.uniandes.edu.co/2017/Catalogo/Cursos/IELE/2000/IELE-2009" TargetMode="External"/><Relationship Id="rId15" Type="http://schemas.openxmlformats.org/officeDocument/2006/relationships/hyperlink" Target="https://catalogo.uniandes.edu.co/2017/Catalogo/Cursos/MATE/2000/MATE-2210" TargetMode="External"/><Relationship Id="rId23" Type="http://schemas.openxmlformats.org/officeDocument/2006/relationships/hyperlink" Target="https://catalogo.uniandes.edu.co/2017/Catalogo/Cursos/GENERALES-Y-REQUISITOS/CBU" TargetMode="External"/><Relationship Id="rId10" Type="http://schemas.openxmlformats.org/officeDocument/2006/relationships/hyperlink" Target="http://uniandes.smartcatalogiq.com/Catalogo-general-2022/Catalogo/Cursos/ISIS/1000/ISIS-1221" TargetMode="External"/><Relationship Id="rId19" Type="http://schemas.openxmlformats.org/officeDocument/2006/relationships/hyperlink" Target="https://catalogo.uniandes.edu.co/2017/Catalogo/Cursos/IELE/Generales/XXXX-Electiva-en-Fundamentos-de-Ingenier-237-a-3" TargetMode="External"/><Relationship Id="rId4" Type="http://schemas.openxmlformats.org/officeDocument/2006/relationships/hyperlink" Target="https://catalogo.uniandes.edu.co/2017/Catalogo/Cursos/IIND/2000/IIND-2106" TargetMode="External"/><Relationship Id="rId9" Type="http://schemas.openxmlformats.org/officeDocument/2006/relationships/hyperlink" Target="https://catalogo.uniandes.edu.co/2017/Catalogo/Cursos/MATE/1000/MATE-1203" TargetMode="External"/><Relationship Id="rId14" Type="http://schemas.openxmlformats.org/officeDocument/2006/relationships/hyperlink" Target="https://catalogo.uniandes.edu.co/2017/Catalogo/Cursos/MATE/1000/MATE-1207" TargetMode="External"/><Relationship Id="rId22" Type="http://schemas.openxmlformats.org/officeDocument/2006/relationships/hyperlink" Target="https://catalogo.uniandes.edu.co/2017/Catalogo/Cursos/IELE/3000/IELE-3006" TargetMode="External"/><Relationship Id="rId27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E86F-D812-4E41-81CD-1AE7014F7EC0}">
  <dimension ref="A1:T70"/>
  <sheetViews>
    <sheetView topLeftCell="A42" workbookViewId="0">
      <selection activeCell="I9" sqref="I9"/>
    </sheetView>
  </sheetViews>
  <sheetFormatPr baseColWidth="10" defaultColWidth="11.453125" defaultRowHeight="14.5" x14ac:dyDescent="0.35"/>
  <cols>
    <col min="1" max="1" width="3.453125" style="4" customWidth="1"/>
    <col min="2" max="2" width="14.81640625" style="26" customWidth="1"/>
    <col min="3" max="3" width="48.7265625" style="1" customWidth="1"/>
    <col min="4" max="4" width="10.1796875" style="1" customWidth="1"/>
    <col min="5" max="5" width="1.26953125" style="1" customWidth="1"/>
    <col min="6" max="6" width="1.26953125" style="4" customWidth="1"/>
    <col min="7" max="7" width="12" style="4" bestFit="1" customWidth="1"/>
    <col min="8" max="8" width="1.453125" style="4" customWidth="1"/>
    <col min="9" max="9" width="6.453125" style="4" bestFit="1" customWidth="1"/>
    <col min="10" max="12" width="6" style="4" bestFit="1" customWidth="1"/>
    <col min="13" max="13" width="6.453125" style="4" bestFit="1" customWidth="1"/>
    <col min="14" max="16" width="6" style="4" bestFit="1" customWidth="1"/>
    <col min="17" max="17" width="7.54296875" style="1" customWidth="1"/>
    <col min="18" max="20" width="11.453125" style="1"/>
  </cols>
  <sheetData>
    <row r="1" spans="1:16" x14ac:dyDescent="0.35">
      <c r="B1" s="3" t="s">
        <v>102</v>
      </c>
    </row>
    <row r="2" spans="1:16" x14ac:dyDescent="0.35">
      <c r="B2" s="3" t="s">
        <v>0</v>
      </c>
      <c r="I2" s="78" t="s">
        <v>56</v>
      </c>
      <c r="J2" s="79"/>
      <c r="K2" s="79"/>
      <c r="L2" s="79"/>
      <c r="M2" s="80"/>
      <c r="N2" s="80"/>
      <c r="O2" s="80"/>
      <c r="P2" s="81"/>
    </row>
    <row r="3" spans="1:16" x14ac:dyDescent="0.35">
      <c r="A3" s="39"/>
      <c r="B3" s="5" t="s">
        <v>103</v>
      </c>
      <c r="G3" s="6" t="s">
        <v>57</v>
      </c>
      <c r="H3" s="7"/>
      <c r="I3" s="7" t="s">
        <v>58</v>
      </c>
      <c r="J3" s="7" t="s">
        <v>59</v>
      </c>
      <c r="K3" s="7" t="s">
        <v>60</v>
      </c>
      <c r="L3" s="7" t="s">
        <v>61</v>
      </c>
      <c r="M3" s="7" t="s">
        <v>62</v>
      </c>
      <c r="N3" s="7" t="s">
        <v>63</v>
      </c>
      <c r="O3" s="7" t="s">
        <v>64</v>
      </c>
      <c r="P3" s="7" t="s">
        <v>65</v>
      </c>
    </row>
    <row r="4" spans="1:16" x14ac:dyDescent="0.35">
      <c r="B4" s="8" t="s">
        <v>104</v>
      </c>
      <c r="C4" s="32" t="s">
        <v>2</v>
      </c>
      <c r="D4" s="10">
        <v>3</v>
      </c>
      <c r="E4" s="29"/>
      <c r="G4" s="6">
        <v>3</v>
      </c>
      <c r="H4" s="7"/>
      <c r="I4" s="7">
        <v>3</v>
      </c>
      <c r="J4" s="7"/>
      <c r="K4" s="7"/>
      <c r="L4" s="7"/>
      <c r="M4" s="7"/>
      <c r="N4" s="7"/>
      <c r="O4" s="7"/>
      <c r="P4" s="7"/>
    </row>
    <row r="5" spans="1:16" x14ac:dyDescent="0.35">
      <c r="B5" s="15" t="s">
        <v>70</v>
      </c>
      <c r="C5" s="1" t="s">
        <v>6</v>
      </c>
      <c r="D5" s="12">
        <v>3</v>
      </c>
      <c r="E5" s="29"/>
      <c r="G5" s="6">
        <v>3</v>
      </c>
      <c r="H5" s="7"/>
      <c r="I5" s="7">
        <v>3</v>
      </c>
      <c r="J5" s="7"/>
      <c r="K5" s="7"/>
      <c r="L5" s="7"/>
      <c r="M5" s="7"/>
      <c r="N5" s="7"/>
      <c r="O5" s="7"/>
      <c r="P5" s="7"/>
    </row>
    <row r="6" spans="1:16" x14ac:dyDescent="0.35">
      <c r="B6" s="11" t="s">
        <v>68</v>
      </c>
      <c r="C6" s="1" t="s">
        <v>4</v>
      </c>
      <c r="D6" s="12">
        <v>3</v>
      </c>
      <c r="E6" s="29"/>
      <c r="G6" s="6">
        <v>3</v>
      </c>
      <c r="H6" s="7"/>
      <c r="I6" s="7">
        <v>3</v>
      </c>
      <c r="J6" s="7"/>
      <c r="K6" s="7"/>
      <c r="L6" s="7"/>
      <c r="M6" s="7"/>
      <c r="N6" s="7"/>
      <c r="O6" s="7"/>
      <c r="P6" s="7"/>
    </row>
    <row r="7" spans="1:16" ht="16.5" customHeight="1" x14ac:dyDescent="0.35">
      <c r="B7" s="13" t="s">
        <v>122</v>
      </c>
      <c r="C7" s="1" t="s">
        <v>123</v>
      </c>
      <c r="D7" s="12">
        <v>3</v>
      </c>
      <c r="E7" s="29"/>
      <c r="G7" s="6">
        <v>3</v>
      </c>
      <c r="H7" s="7"/>
      <c r="I7" s="7">
        <v>3</v>
      </c>
      <c r="J7" s="7"/>
      <c r="K7" s="7"/>
      <c r="L7" s="7"/>
      <c r="M7" s="7"/>
      <c r="N7" s="7"/>
      <c r="O7" s="7"/>
      <c r="P7" s="7"/>
    </row>
    <row r="8" spans="1:16" x14ac:dyDescent="0.35">
      <c r="B8" s="15" t="s">
        <v>11</v>
      </c>
      <c r="C8" s="1" t="s">
        <v>12</v>
      </c>
      <c r="D8" s="12">
        <v>3</v>
      </c>
      <c r="E8" s="29"/>
      <c r="G8" s="6">
        <v>3</v>
      </c>
      <c r="H8" s="7"/>
      <c r="I8" s="7">
        <v>3</v>
      </c>
      <c r="J8" s="7"/>
      <c r="K8" s="7"/>
      <c r="L8" s="7"/>
      <c r="M8" s="7"/>
      <c r="N8" s="7"/>
      <c r="O8" s="7"/>
      <c r="P8" s="7"/>
    </row>
    <row r="9" spans="1:16" x14ac:dyDescent="0.35">
      <c r="B9" s="16"/>
      <c r="C9" s="17" t="s">
        <v>105</v>
      </c>
      <c r="D9" s="18">
        <f>SUM(D4:D8)</f>
        <v>15</v>
      </c>
      <c r="E9" s="30"/>
      <c r="G9" s="6"/>
      <c r="H9" s="7"/>
      <c r="I9" s="7"/>
      <c r="J9" s="7"/>
      <c r="K9" s="7"/>
      <c r="L9" s="7"/>
      <c r="M9" s="7"/>
      <c r="N9" s="7"/>
      <c r="O9" s="7"/>
      <c r="P9" s="7"/>
    </row>
    <row r="10" spans="1:16" x14ac:dyDescent="0.35">
      <c r="B10" s="5" t="s">
        <v>106</v>
      </c>
      <c r="G10" s="6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35">
      <c r="B11" s="8" t="s">
        <v>71</v>
      </c>
      <c r="C11" s="32" t="s">
        <v>7</v>
      </c>
      <c r="D11" s="10">
        <v>1</v>
      </c>
      <c r="E11" s="29"/>
      <c r="G11" s="6">
        <v>1</v>
      </c>
      <c r="H11" s="7"/>
      <c r="I11" s="7"/>
      <c r="J11" s="7">
        <v>1</v>
      </c>
      <c r="K11" s="7"/>
      <c r="L11" s="7"/>
      <c r="M11" s="7"/>
      <c r="N11" s="7"/>
      <c r="O11" s="7"/>
      <c r="P11" s="7"/>
    </row>
    <row r="12" spans="1:16" x14ac:dyDescent="0.35">
      <c r="B12" s="33" t="s">
        <v>72</v>
      </c>
      <c r="C12" s="31" t="s">
        <v>8</v>
      </c>
      <c r="D12" s="12">
        <v>3</v>
      </c>
      <c r="E12" s="29"/>
      <c r="G12" s="6">
        <v>3</v>
      </c>
      <c r="H12" s="7"/>
      <c r="I12" s="7"/>
      <c r="J12" s="7">
        <v>3</v>
      </c>
      <c r="K12" s="7"/>
      <c r="L12" s="7"/>
      <c r="M12" s="7"/>
      <c r="N12" s="7"/>
      <c r="O12" s="7"/>
      <c r="P12" s="7"/>
    </row>
    <row r="13" spans="1:16" x14ac:dyDescent="0.35">
      <c r="B13" s="13" t="s">
        <v>69</v>
      </c>
      <c r="C13" s="1" t="s">
        <v>5</v>
      </c>
      <c r="D13" s="14">
        <v>2</v>
      </c>
      <c r="E13" s="4"/>
      <c r="G13" s="6">
        <v>2</v>
      </c>
      <c r="H13" s="7"/>
      <c r="I13" s="7"/>
      <c r="J13" s="7">
        <v>2</v>
      </c>
      <c r="K13" s="7"/>
      <c r="L13" s="7"/>
      <c r="M13" s="7"/>
      <c r="N13" s="7"/>
      <c r="O13" s="7"/>
      <c r="P13" s="7"/>
    </row>
    <row r="14" spans="1:16" x14ac:dyDescent="0.35">
      <c r="B14" s="15" t="s">
        <v>73</v>
      </c>
      <c r="C14" s="31" t="s">
        <v>9</v>
      </c>
      <c r="D14" s="12">
        <v>3</v>
      </c>
      <c r="E14" s="29"/>
      <c r="G14" s="6">
        <v>3</v>
      </c>
      <c r="H14" s="7"/>
      <c r="I14" s="7"/>
      <c r="J14" s="7">
        <v>3</v>
      </c>
      <c r="K14" s="7"/>
      <c r="L14" s="7"/>
      <c r="M14" s="7"/>
      <c r="N14" s="7"/>
      <c r="O14" s="7"/>
      <c r="P14" s="7"/>
    </row>
    <row r="15" spans="1:16" x14ac:dyDescent="0.35">
      <c r="B15" s="15" t="s">
        <v>74</v>
      </c>
      <c r="C15" s="31" t="s">
        <v>10</v>
      </c>
      <c r="D15" s="12">
        <v>3</v>
      </c>
      <c r="E15" s="29"/>
      <c r="G15" s="6">
        <v>3</v>
      </c>
      <c r="H15" s="7"/>
      <c r="I15" s="7"/>
      <c r="J15" s="7">
        <v>3</v>
      </c>
      <c r="K15" s="7"/>
      <c r="L15" s="7"/>
      <c r="M15" s="7"/>
      <c r="N15" s="7"/>
      <c r="O15" s="7"/>
      <c r="P15" s="7"/>
    </row>
    <row r="16" spans="1:16" x14ac:dyDescent="0.35">
      <c r="B16" s="33" t="s">
        <v>75</v>
      </c>
      <c r="C16" s="1" t="s">
        <v>51</v>
      </c>
      <c r="D16" s="12">
        <v>3</v>
      </c>
      <c r="E16" s="29"/>
      <c r="G16" s="6">
        <v>3</v>
      </c>
      <c r="H16" s="7"/>
      <c r="I16" s="7"/>
      <c r="J16" s="7">
        <v>3</v>
      </c>
      <c r="K16" s="7"/>
      <c r="L16" s="7"/>
      <c r="M16" s="7"/>
      <c r="N16" s="7"/>
      <c r="O16" s="7"/>
      <c r="P16" s="7"/>
    </row>
    <row r="17" spans="2:16" x14ac:dyDescent="0.35">
      <c r="B17" s="15" t="s">
        <v>112</v>
      </c>
      <c r="C17" s="1" t="s">
        <v>113</v>
      </c>
      <c r="D17" s="12">
        <v>2</v>
      </c>
      <c r="E17" s="29"/>
      <c r="G17" s="6">
        <v>2</v>
      </c>
      <c r="H17" s="7"/>
      <c r="I17" s="7"/>
      <c r="J17" s="7">
        <v>2</v>
      </c>
      <c r="K17" s="7"/>
      <c r="L17" s="7"/>
      <c r="M17" s="7"/>
      <c r="N17" s="7"/>
      <c r="O17" s="7"/>
      <c r="P17" s="7"/>
    </row>
    <row r="18" spans="2:16" x14ac:dyDescent="0.35">
      <c r="B18" s="16"/>
      <c r="C18" s="17" t="s">
        <v>105</v>
      </c>
      <c r="D18" s="18">
        <f>SUM(D11:D17)</f>
        <v>17</v>
      </c>
      <c r="E18" s="30"/>
      <c r="G18" s="6"/>
      <c r="H18" s="7"/>
      <c r="I18" s="7"/>
      <c r="J18" s="7"/>
      <c r="K18" s="7"/>
      <c r="L18" s="7"/>
      <c r="M18" s="7"/>
      <c r="N18" s="7"/>
      <c r="O18" s="7"/>
      <c r="P18" s="7"/>
    </row>
    <row r="19" spans="2:16" x14ac:dyDescent="0.35">
      <c r="B19" s="5" t="s">
        <v>107</v>
      </c>
      <c r="G19" s="6"/>
      <c r="H19" s="7"/>
      <c r="I19" s="7"/>
      <c r="J19" s="7"/>
      <c r="K19" s="7"/>
      <c r="L19" s="7"/>
      <c r="M19" s="7"/>
      <c r="N19" s="7"/>
      <c r="O19" s="7"/>
      <c r="P19" s="7"/>
    </row>
    <row r="20" spans="2:16" x14ac:dyDescent="0.35">
      <c r="B20" s="34" t="s">
        <v>76</v>
      </c>
      <c r="C20" s="32" t="s">
        <v>13</v>
      </c>
      <c r="D20" s="10">
        <v>1</v>
      </c>
      <c r="E20" s="29"/>
      <c r="G20" s="6">
        <v>1</v>
      </c>
      <c r="H20" s="7"/>
      <c r="I20" s="7"/>
      <c r="J20" s="7"/>
      <c r="K20" s="7">
        <v>1</v>
      </c>
      <c r="L20" s="7"/>
      <c r="M20" s="7"/>
      <c r="N20" s="7"/>
      <c r="O20" s="7"/>
      <c r="P20" s="7"/>
    </row>
    <row r="21" spans="2:16" x14ac:dyDescent="0.35">
      <c r="B21" s="35" t="s">
        <v>34</v>
      </c>
      <c r="C21" s="31" t="s">
        <v>108</v>
      </c>
      <c r="D21" s="12">
        <v>3</v>
      </c>
      <c r="E21" s="29"/>
      <c r="G21" s="7">
        <v>3</v>
      </c>
      <c r="H21" s="7"/>
      <c r="I21" s="7"/>
      <c r="J21" s="7"/>
      <c r="K21" s="7">
        <v>3</v>
      </c>
      <c r="L21" s="7"/>
      <c r="M21" s="7"/>
      <c r="N21" s="7"/>
      <c r="O21" s="7"/>
      <c r="P21" s="7"/>
    </row>
    <row r="22" spans="2:16" x14ac:dyDescent="0.35">
      <c r="B22" s="15" t="s">
        <v>77</v>
      </c>
      <c r="C22" s="31" t="s">
        <v>14</v>
      </c>
      <c r="D22" s="12">
        <v>3</v>
      </c>
      <c r="E22" s="29"/>
      <c r="G22" s="7">
        <v>3</v>
      </c>
      <c r="H22" s="7"/>
      <c r="I22" s="7"/>
      <c r="J22" s="7"/>
      <c r="K22" s="7">
        <v>3</v>
      </c>
      <c r="L22" s="7"/>
      <c r="M22" s="7"/>
      <c r="N22" s="7"/>
      <c r="O22" s="7"/>
      <c r="P22" s="7"/>
    </row>
    <row r="23" spans="2:16" x14ac:dyDescent="0.35">
      <c r="B23" s="15" t="s">
        <v>24</v>
      </c>
      <c r="C23" s="31" t="s">
        <v>15</v>
      </c>
      <c r="D23" s="12">
        <v>3</v>
      </c>
      <c r="E23" s="29"/>
      <c r="G23" s="7">
        <v>3</v>
      </c>
      <c r="H23" s="7"/>
      <c r="I23" s="7"/>
      <c r="J23" s="7"/>
      <c r="K23" s="7">
        <v>3</v>
      </c>
      <c r="L23" s="7"/>
      <c r="M23" s="7"/>
      <c r="N23" s="7"/>
      <c r="O23" s="7"/>
      <c r="P23" s="7"/>
    </row>
    <row r="24" spans="2:16" x14ac:dyDescent="0.35">
      <c r="B24" s="15" t="s">
        <v>78</v>
      </c>
      <c r="C24" s="31" t="s">
        <v>109</v>
      </c>
      <c r="D24" s="12">
        <v>2</v>
      </c>
      <c r="E24" s="29"/>
      <c r="G24" s="7">
        <v>2</v>
      </c>
      <c r="H24" s="7"/>
      <c r="I24" s="7"/>
      <c r="J24" s="7"/>
      <c r="K24" s="7">
        <v>2</v>
      </c>
      <c r="L24" s="7"/>
      <c r="M24" s="7"/>
      <c r="N24" s="7"/>
      <c r="O24" s="7"/>
      <c r="P24" s="7"/>
    </row>
    <row r="25" spans="2:16" x14ac:dyDescent="0.35">
      <c r="B25" s="35" t="s">
        <v>79</v>
      </c>
      <c r="C25" s="36" t="s">
        <v>52</v>
      </c>
      <c r="D25" s="12">
        <v>3</v>
      </c>
      <c r="E25" s="29"/>
      <c r="G25" s="6">
        <v>3</v>
      </c>
      <c r="H25" s="7"/>
      <c r="I25" s="7"/>
      <c r="J25" s="7"/>
      <c r="K25" s="7">
        <v>3</v>
      </c>
      <c r="L25" s="7"/>
      <c r="M25" s="7"/>
      <c r="N25" s="7"/>
      <c r="O25" s="7"/>
      <c r="P25" s="7"/>
    </row>
    <row r="26" spans="2:16" x14ac:dyDescent="0.35">
      <c r="B26" s="15" t="s">
        <v>11</v>
      </c>
      <c r="C26" s="1" t="s">
        <v>12</v>
      </c>
      <c r="D26" s="12">
        <v>3</v>
      </c>
      <c r="E26" s="29"/>
      <c r="G26" s="7">
        <v>3</v>
      </c>
      <c r="H26" s="7"/>
      <c r="I26" s="7"/>
      <c r="J26" s="7"/>
      <c r="K26" s="7">
        <v>3</v>
      </c>
      <c r="L26" s="7"/>
      <c r="M26" s="7"/>
      <c r="N26" s="7"/>
      <c r="O26" s="7"/>
      <c r="P26" s="7"/>
    </row>
    <row r="27" spans="2:16" x14ac:dyDescent="0.35">
      <c r="B27" s="16"/>
      <c r="C27" s="17" t="s">
        <v>105</v>
      </c>
      <c r="D27" s="18">
        <f ca="1">SUM(D20:D43)</f>
        <v>21</v>
      </c>
      <c r="E27" s="30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2:16" x14ac:dyDescent="0.35">
      <c r="B28" s="5" t="s">
        <v>110</v>
      </c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2:16" x14ac:dyDescent="0.35">
      <c r="B29" s="8" t="s">
        <v>82</v>
      </c>
      <c r="C29" s="32" t="s">
        <v>111</v>
      </c>
      <c r="D29" s="10">
        <v>2</v>
      </c>
      <c r="E29" s="29"/>
      <c r="G29" s="6">
        <v>2</v>
      </c>
      <c r="H29" s="7"/>
      <c r="I29" s="7"/>
      <c r="J29" s="7"/>
      <c r="K29" s="7"/>
      <c r="L29" s="7">
        <v>2</v>
      </c>
      <c r="M29" s="7"/>
      <c r="N29" s="7"/>
      <c r="O29" s="7"/>
      <c r="P29" s="7"/>
    </row>
    <row r="30" spans="2:16" x14ac:dyDescent="0.35">
      <c r="B30" s="15" t="s">
        <v>81</v>
      </c>
      <c r="C30" s="31" t="s">
        <v>21</v>
      </c>
      <c r="D30" s="12">
        <v>3</v>
      </c>
      <c r="E30" s="29"/>
      <c r="G30" s="7">
        <v>3</v>
      </c>
      <c r="H30" s="7"/>
      <c r="I30" s="7"/>
      <c r="J30" s="7"/>
      <c r="K30" s="7"/>
      <c r="L30" s="7">
        <v>3</v>
      </c>
      <c r="M30" s="7"/>
      <c r="N30" s="7"/>
      <c r="O30" s="7"/>
      <c r="P30" s="7"/>
    </row>
    <row r="31" spans="2:16" x14ac:dyDescent="0.35">
      <c r="B31" s="15" t="s">
        <v>84</v>
      </c>
      <c r="C31" s="31" t="s">
        <v>20</v>
      </c>
      <c r="D31" s="12">
        <v>3</v>
      </c>
      <c r="E31" s="29"/>
      <c r="G31" s="7">
        <v>3</v>
      </c>
      <c r="H31" s="7"/>
      <c r="I31" s="7"/>
      <c r="J31" s="7"/>
      <c r="K31" s="7"/>
      <c r="L31" s="7">
        <v>3</v>
      </c>
      <c r="M31" s="7"/>
      <c r="N31" s="7"/>
      <c r="O31" s="7"/>
      <c r="P31" s="7"/>
    </row>
    <row r="32" spans="2:16" x14ac:dyDescent="0.35">
      <c r="B32" s="15" t="s">
        <v>83</v>
      </c>
      <c r="C32" s="31" t="s">
        <v>19</v>
      </c>
      <c r="D32" s="12">
        <v>3</v>
      </c>
      <c r="E32" s="29"/>
      <c r="G32" s="7">
        <v>3</v>
      </c>
      <c r="H32" s="7"/>
      <c r="I32" s="7"/>
      <c r="J32" s="7"/>
      <c r="K32" s="7"/>
      <c r="L32" s="7">
        <v>3</v>
      </c>
      <c r="M32" s="7"/>
      <c r="N32" s="7"/>
      <c r="O32" s="7"/>
      <c r="P32" s="7"/>
    </row>
    <row r="33" spans="2:16" x14ac:dyDescent="0.35">
      <c r="B33" s="15" t="s">
        <v>85</v>
      </c>
      <c r="C33" s="31" t="s">
        <v>86</v>
      </c>
      <c r="D33" s="12">
        <v>3</v>
      </c>
      <c r="E33" s="29"/>
      <c r="G33" s="7">
        <v>3</v>
      </c>
      <c r="H33" s="7"/>
      <c r="I33" s="7"/>
      <c r="J33" s="7"/>
      <c r="K33" s="7"/>
      <c r="L33" s="7">
        <v>3</v>
      </c>
      <c r="M33" s="7"/>
      <c r="N33" s="7"/>
      <c r="O33" s="7"/>
      <c r="P33" s="7"/>
    </row>
    <row r="34" spans="2:16" x14ac:dyDescent="0.35">
      <c r="B34" s="15" t="s">
        <v>11</v>
      </c>
      <c r="C34" s="1" t="s">
        <v>12</v>
      </c>
      <c r="D34" s="12">
        <v>3</v>
      </c>
      <c r="E34" s="29"/>
      <c r="G34" s="6">
        <v>3</v>
      </c>
      <c r="H34" s="7"/>
      <c r="I34" s="7"/>
      <c r="J34" s="7"/>
      <c r="K34" s="7"/>
      <c r="L34" s="7">
        <v>3</v>
      </c>
      <c r="M34" s="7"/>
      <c r="N34" s="7"/>
      <c r="O34" s="7"/>
      <c r="P34" s="7"/>
    </row>
    <row r="35" spans="2:16" x14ac:dyDescent="0.35">
      <c r="B35" s="15"/>
      <c r="C35" s="31"/>
      <c r="D35" s="12"/>
      <c r="E35" s="29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2:16" x14ac:dyDescent="0.35">
      <c r="B36" s="16"/>
      <c r="C36" s="17" t="s">
        <v>105</v>
      </c>
      <c r="D36" s="18">
        <f>SUM(D29:D35)</f>
        <v>17</v>
      </c>
      <c r="E36" s="30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2:16" x14ac:dyDescent="0.35">
      <c r="B37" s="5" t="s">
        <v>114</v>
      </c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2:16" x14ac:dyDescent="0.35">
      <c r="B38" s="37" t="s">
        <v>87</v>
      </c>
      <c r="C38" s="32" t="s">
        <v>53</v>
      </c>
      <c r="D38" s="10">
        <v>3</v>
      </c>
      <c r="E38" s="29"/>
      <c r="G38" s="7">
        <v>3</v>
      </c>
      <c r="H38" s="7"/>
      <c r="I38" s="7"/>
      <c r="J38" s="7"/>
      <c r="K38" s="7"/>
      <c r="L38" s="7"/>
      <c r="M38" s="7">
        <v>3</v>
      </c>
      <c r="N38" s="7"/>
      <c r="O38" s="7"/>
      <c r="P38" s="7"/>
    </row>
    <row r="39" spans="2:16" x14ac:dyDescent="0.35">
      <c r="B39" s="15" t="s">
        <v>89</v>
      </c>
      <c r="C39" s="31" t="s">
        <v>27</v>
      </c>
      <c r="D39" s="12">
        <v>3</v>
      </c>
      <c r="E39" s="29"/>
      <c r="G39" s="7">
        <v>3</v>
      </c>
      <c r="H39" s="7"/>
      <c r="I39" s="7"/>
      <c r="J39" s="7"/>
      <c r="K39" s="7"/>
      <c r="L39" s="7"/>
      <c r="M39" s="7">
        <v>3</v>
      </c>
      <c r="N39" s="7"/>
      <c r="O39" s="7"/>
      <c r="P39" s="7"/>
    </row>
    <row r="40" spans="2:16" x14ac:dyDescent="0.35">
      <c r="B40" s="15" t="s">
        <v>31</v>
      </c>
      <c r="C40" s="31" t="s">
        <v>25</v>
      </c>
      <c r="D40" s="12">
        <v>3</v>
      </c>
      <c r="E40" s="29"/>
      <c r="G40" s="7">
        <v>3</v>
      </c>
      <c r="H40" s="7"/>
      <c r="I40" s="7"/>
      <c r="J40" s="7"/>
      <c r="K40" s="7"/>
      <c r="L40" s="7"/>
      <c r="M40" s="7">
        <v>3</v>
      </c>
      <c r="N40" s="7"/>
      <c r="O40" s="7"/>
      <c r="P40" s="7"/>
    </row>
    <row r="41" spans="2:16" x14ac:dyDescent="0.35">
      <c r="B41" s="15" t="s">
        <v>88</v>
      </c>
      <c r="C41" s="31" t="s">
        <v>26</v>
      </c>
      <c r="D41" s="12">
        <v>3</v>
      </c>
      <c r="E41" s="29"/>
      <c r="G41" s="7">
        <v>3</v>
      </c>
      <c r="H41" s="7"/>
      <c r="I41" s="7"/>
      <c r="J41" s="7"/>
      <c r="K41" s="7"/>
      <c r="L41" s="7"/>
      <c r="M41" s="7">
        <v>3</v>
      </c>
      <c r="N41" s="7"/>
      <c r="O41" s="7"/>
      <c r="P41" s="7"/>
    </row>
    <row r="42" spans="2:16" x14ac:dyDescent="0.35">
      <c r="B42" s="15" t="s">
        <v>115</v>
      </c>
      <c r="C42" s="31" t="s">
        <v>28</v>
      </c>
      <c r="D42" s="12">
        <v>3</v>
      </c>
      <c r="E42" s="29"/>
      <c r="G42" s="7">
        <v>3</v>
      </c>
      <c r="H42" s="7"/>
      <c r="I42" s="7"/>
      <c r="J42" s="7"/>
      <c r="K42" s="7"/>
      <c r="L42" s="7"/>
      <c r="M42" s="7">
        <v>3</v>
      </c>
      <c r="N42" s="7"/>
      <c r="O42" s="7"/>
      <c r="P42" s="7"/>
    </row>
    <row r="43" spans="2:16" x14ac:dyDescent="0.35">
      <c r="B43" s="15" t="s">
        <v>80</v>
      </c>
      <c r="C43" s="31" t="s">
        <v>17</v>
      </c>
      <c r="D43" s="12">
        <v>3</v>
      </c>
      <c r="E43" s="29"/>
      <c r="G43" s="7">
        <v>3</v>
      </c>
      <c r="H43" s="7"/>
      <c r="I43" s="7"/>
      <c r="J43" s="7"/>
      <c r="K43" s="7"/>
      <c r="L43" s="7"/>
      <c r="M43" s="7">
        <v>3</v>
      </c>
      <c r="N43" s="7"/>
      <c r="O43" s="7"/>
      <c r="P43" s="7"/>
    </row>
    <row r="44" spans="2:16" x14ac:dyDescent="0.35">
      <c r="B44" s="16"/>
      <c r="C44" s="17" t="s">
        <v>105</v>
      </c>
      <c r="D44" s="18">
        <f>SUM(D38:D43)</f>
        <v>18</v>
      </c>
      <c r="E44" s="30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2:16" x14ac:dyDescent="0.35">
      <c r="B45" s="5" t="s">
        <v>116</v>
      </c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2:16" x14ac:dyDescent="0.35">
      <c r="B46" s="8" t="s">
        <v>91</v>
      </c>
      <c r="C46" s="32" t="s">
        <v>29</v>
      </c>
      <c r="D46" s="10">
        <v>3</v>
      </c>
      <c r="E46" s="29"/>
      <c r="G46" s="6">
        <v>3</v>
      </c>
      <c r="H46" s="7"/>
      <c r="I46" s="7"/>
      <c r="J46" s="7"/>
      <c r="K46" s="7"/>
      <c r="L46" s="7"/>
      <c r="M46" s="7"/>
      <c r="N46" s="7">
        <v>3</v>
      </c>
      <c r="O46" s="7"/>
      <c r="P46" s="7"/>
    </row>
    <row r="47" spans="2:16" x14ac:dyDescent="0.35">
      <c r="B47" s="33" t="s">
        <v>92</v>
      </c>
      <c r="C47" s="1" t="s">
        <v>30</v>
      </c>
      <c r="D47" s="12">
        <v>3</v>
      </c>
      <c r="E47" s="29"/>
      <c r="G47" s="6">
        <v>3</v>
      </c>
      <c r="H47" s="7"/>
      <c r="I47" s="7"/>
      <c r="J47" s="7"/>
      <c r="K47" s="7"/>
      <c r="L47" s="7"/>
      <c r="M47" s="7"/>
      <c r="N47" s="7">
        <v>3</v>
      </c>
      <c r="O47" s="7"/>
      <c r="P47" s="7"/>
    </row>
    <row r="48" spans="2:16" x14ac:dyDescent="0.35">
      <c r="B48" s="15" t="s">
        <v>93</v>
      </c>
      <c r="C48" s="31" t="s">
        <v>32</v>
      </c>
      <c r="D48" s="12">
        <v>3</v>
      </c>
      <c r="E48" s="29"/>
      <c r="G48" s="7">
        <v>3</v>
      </c>
      <c r="H48" s="7"/>
      <c r="I48" s="7"/>
      <c r="J48" s="7"/>
      <c r="K48" s="7"/>
      <c r="L48" s="7"/>
      <c r="M48" s="7"/>
      <c r="N48" s="7">
        <v>3</v>
      </c>
      <c r="O48" s="7"/>
      <c r="P48" s="7"/>
    </row>
    <row r="49" spans="2:16" x14ac:dyDescent="0.35">
      <c r="B49" s="33" t="s">
        <v>117</v>
      </c>
      <c r="C49" s="31" t="s">
        <v>33</v>
      </c>
      <c r="D49" s="12">
        <v>2</v>
      </c>
      <c r="E49" s="29"/>
      <c r="G49" s="7">
        <v>2</v>
      </c>
      <c r="H49" s="7"/>
      <c r="I49" s="7"/>
      <c r="J49" s="7"/>
      <c r="K49" s="7"/>
      <c r="L49" s="7"/>
      <c r="M49" s="7"/>
      <c r="N49" s="7">
        <v>2</v>
      </c>
      <c r="O49" s="7"/>
      <c r="P49" s="7"/>
    </row>
    <row r="50" spans="2:16" x14ac:dyDescent="0.35">
      <c r="B50" s="15" t="s">
        <v>118</v>
      </c>
      <c r="C50" s="31" t="s">
        <v>36</v>
      </c>
      <c r="D50" s="12">
        <v>3</v>
      </c>
      <c r="E50" s="29"/>
      <c r="G50" s="7">
        <v>3</v>
      </c>
      <c r="H50" s="7"/>
      <c r="I50" s="7"/>
      <c r="J50" s="7"/>
      <c r="K50" s="7"/>
      <c r="L50" s="7"/>
      <c r="M50" s="7"/>
      <c r="N50" s="7">
        <v>3</v>
      </c>
      <c r="O50" s="7"/>
      <c r="P50" s="7"/>
    </row>
    <row r="51" spans="2:16" x14ac:dyDescent="0.35">
      <c r="B51" s="15" t="s">
        <v>43</v>
      </c>
      <c r="C51" s="31" t="s">
        <v>44</v>
      </c>
      <c r="D51" s="12">
        <v>3</v>
      </c>
      <c r="E51" s="29"/>
      <c r="G51" s="7">
        <v>3</v>
      </c>
      <c r="H51" s="7"/>
      <c r="I51" s="7"/>
      <c r="J51" s="7"/>
      <c r="K51" s="7"/>
      <c r="L51" s="7"/>
      <c r="M51" s="7"/>
      <c r="N51" s="7">
        <v>3</v>
      </c>
      <c r="O51" s="7"/>
      <c r="P51" s="7"/>
    </row>
    <row r="52" spans="2:16" x14ac:dyDescent="0.35">
      <c r="B52" s="16"/>
      <c r="C52" s="17" t="s">
        <v>105</v>
      </c>
      <c r="D52" s="18">
        <f>SUM(D46:D51)</f>
        <v>17</v>
      </c>
      <c r="E52" s="30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2:16" x14ac:dyDescent="0.35">
      <c r="B53" s="5" t="s">
        <v>119</v>
      </c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2:16" x14ac:dyDescent="0.35">
      <c r="B54" s="38" t="s">
        <v>96</v>
      </c>
      <c r="C54" s="32" t="s">
        <v>39</v>
      </c>
      <c r="D54" s="10">
        <v>3</v>
      </c>
      <c r="E54" s="29"/>
      <c r="G54" s="7">
        <v>3</v>
      </c>
      <c r="H54" s="7"/>
      <c r="I54" s="7"/>
      <c r="J54" s="7"/>
      <c r="K54" s="7"/>
      <c r="L54" s="7"/>
      <c r="M54" s="7"/>
      <c r="N54" s="7"/>
      <c r="O54" s="7">
        <v>3</v>
      </c>
      <c r="P54" s="7"/>
    </row>
    <row r="55" spans="2:16" x14ac:dyDescent="0.35">
      <c r="B55" s="15" t="s">
        <v>90</v>
      </c>
      <c r="C55" s="31" t="s">
        <v>40</v>
      </c>
      <c r="D55" s="12">
        <v>3</v>
      </c>
      <c r="E55" s="29"/>
      <c r="G55" s="7">
        <v>3</v>
      </c>
      <c r="H55" s="7"/>
      <c r="I55" s="7"/>
      <c r="J55" s="7"/>
      <c r="K55" s="7"/>
      <c r="L55" s="7"/>
      <c r="M55" s="7"/>
      <c r="N55" s="7"/>
      <c r="O55" s="7">
        <v>3</v>
      </c>
      <c r="P55" s="7"/>
    </row>
    <row r="56" spans="2:16" x14ac:dyDescent="0.35">
      <c r="B56" s="33" t="s">
        <v>95</v>
      </c>
      <c r="C56" s="31" t="s">
        <v>38</v>
      </c>
      <c r="D56" s="12">
        <v>2</v>
      </c>
      <c r="E56" s="29"/>
      <c r="G56" s="7">
        <v>2</v>
      </c>
      <c r="H56" s="7"/>
      <c r="I56" s="7"/>
      <c r="J56" s="7"/>
      <c r="K56" s="7"/>
      <c r="L56" s="7"/>
      <c r="M56" s="7"/>
      <c r="N56" s="7"/>
      <c r="O56" s="7">
        <v>2</v>
      </c>
      <c r="P56" s="7"/>
    </row>
    <row r="57" spans="2:16" x14ac:dyDescent="0.35">
      <c r="B57" s="33" t="s">
        <v>95</v>
      </c>
      <c r="C57" s="31" t="s">
        <v>38</v>
      </c>
      <c r="D57" s="12">
        <v>2</v>
      </c>
      <c r="E57" s="29"/>
      <c r="G57" s="7">
        <v>2</v>
      </c>
      <c r="H57" s="7"/>
      <c r="I57" s="7"/>
      <c r="J57" s="7"/>
      <c r="K57" s="7"/>
      <c r="L57" s="7"/>
      <c r="M57" s="7"/>
      <c r="N57" s="7"/>
      <c r="O57" s="7">
        <v>2</v>
      </c>
      <c r="P57" s="7"/>
    </row>
    <row r="58" spans="2:16" x14ac:dyDescent="0.35">
      <c r="B58" s="33" t="s">
        <v>98</v>
      </c>
      <c r="C58" s="31" t="s">
        <v>49</v>
      </c>
      <c r="D58" s="12">
        <v>3</v>
      </c>
      <c r="E58" s="29"/>
      <c r="G58" s="7">
        <v>3</v>
      </c>
      <c r="H58" s="7"/>
      <c r="I58" s="7"/>
      <c r="J58" s="7"/>
      <c r="K58" s="7"/>
      <c r="L58" s="7"/>
      <c r="M58" s="7"/>
      <c r="N58" s="7"/>
      <c r="O58" s="7">
        <v>3</v>
      </c>
      <c r="P58" s="7"/>
    </row>
    <row r="59" spans="2:16" x14ac:dyDescent="0.35">
      <c r="B59" s="15" t="s">
        <v>45</v>
      </c>
      <c r="C59" s="31" t="s">
        <v>46</v>
      </c>
      <c r="D59" s="12">
        <v>3</v>
      </c>
      <c r="E59" s="29"/>
      <c r="G59" s="7">
        <v>3</v>
      </c>
      <c r="H59" s="7"/>
      <c r="I59" s="7"/>
      <c r="J59" s="7"/>
      <c r="K59" s="7"/>
      <c r="L59" s="7"/>
      <c r="M59" s="7"/>
      <c r="N59" s="7"/>
      <c r="O59" s="7">
        <v>3</v>
      </c>
      <c r="P59" s="7"/>
    </row>
    <row r="60" spans="2:16" x14ac:dyDescent="0.35">
      <c r="B60" s="16"/>
      <c r="C60" s="17" t="s">
        <v>105</v>
      </c>
      <c r="D60" s="18">
        <f>SUM(D54:D59)</f>
        <v>16</v>
      </c>
      <c r="E60" s="30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2:16" x14ac:dyDescent="0.35">
      <c r="B61" s="5" t="s">
        <v>120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2:16" x14ac:dyDescent="0.35">
      <c r="B62" s="8" t="s">
        <v>121</v>
      </c>
      <c r="C62" s="32" t="s">
        <v>47</v>
      </c>
      <c r="D62" s="10">
        <v>3</v>
      </c>
      <c r="E62" s="29"/>
      <c r="G62" s="6">
        <v>3</v>
      </c>
      <c r="H62" s="7"/>
      <c r="I62" s="7"/>
      <c r="J62" s="7"/>
      <c r="K62" s="7"/>
      <c r="L62" s="7"/>
      <c r="M62" s="7"/>
      <c r="N62" s="7"/>
      <c r="O62" s="7"/>
      <c r="P62" s="7">
        <v>3</v>
      </c>
    </row>
    <row r="63" spans="2:16" x14ac:dyDescent="0.35">
      <c r="B63" s="33" t="s">
        <v>95</v>
      </c>
      <c r="C63" s="31" t="s">
        <v>38</v>
      </c>
      <c r="D63" s="12">
        <v>2</v>
      </c>
      <c r="E63" s="29"/>
      <c r="G63" s="7">
        <v>2</v>
      </c>
      <c r="H63" s="7"/>
      <c r="I63" s="7"/>
      <c r="J63" s="7"/>
      <c r="K63" s="7"/>
      <c r="L63" s="7"/>
      <c r="M63" s="7"/>
      <c r="N63" s="7"/>
      <c r="O63" s="7"/>
      <c r="P63" s="7">
        <v>2</v>
      </c>
    </row>
    <row r="64" spans="2:16" x14ac:dyDescent="0.35">
      <c r="B64" s="33" t="s">
        <v>95</v>
      </c>
      <c r="C64" s="31" t="s">
        <v>38</v>
      </c>
      <c r="D64" s="12">
        <v>2</v>
      </c>
      <c r="E64" s="29"/>
      <c r="G64" s="7">
        <v>2</v>
      </c>
      <c r="H64" s="7"/>
      <c r="I64" s="7"/>
      <c r="J64" s="7"/>
      <c r="K64" s="7"/>
      <c r="L64" s="7"/>
      <c r="M64" s="7"/>
      <c r="N64" s="7"/>
      <c r="O64" s="7"/>
      <c r="P64" s="7">
        <v>2</v>
      </c>
    </row>
    <row r="65" spans="2:17" x14ac:dyDescent="0.35">
      <c r="B65" s="15" t="s">
        <v>45</v>
      </c>
      <c r="C65" s="31" t="s">
        <v>46</v>
      </c>
      <c r="D65" s="12">
        <v>3</v>
      </c>
      <c r="E65" s="29"/>
      <c r="G65" s="7">
        <v>3</v>
      </c>
      <c r="H65" s="7"/>
      <c r="I65" s="7"/>
      <c r="J65" s="7"/>
      <c r="K65" s="7"/>
      <c r="L65" s="7"/>
      <c r="M65" s="7"/>
      <c r="N65" s="7"/>
      <c r="O65" s="7"/>
      <c r="P65" s="7">
        <v>3</v>
      </c>
    </row>
    <row r="66" spans="2:17" x14ac:dyDescent="0.35">
      <c r="B66" s="15" t="s">
        <v>11</v>
      </c>
      <c r="C66" s="1" t="s">
        <v>12</v>
      </c>
      <c r="D66" s="12">
        <v>3</v>
      </c>
      <c r="E66" s="29"/>
      <c r="G66" s="6">
        <v>3</v>
      </c>
      <c r="H66" s="7"/>
      <c r="I66" s="7"/>
      <c r="J66" s="7"/>
      <c r="K66" s="7"/>
      <c r="L66" s="7"/>
      <c r="M66" s="7"/>
      <c r="N66" s="7"/>
      <c r="O66" s="7"/>
      <c r="P66" s="7">
        <v>3</v>
      </c>
    </row>
    <row r="67" spans="2:17" x14ac:dyDescent="0.35">
      <c r="B67" s="21" t="s">
        <v>11</v>
      </c>
      <c r="C67" s="1" t="s">
        <v>12</v>
      </c>
      <c r="D67" s="20">
        <v>3</v>
      </c>
      <c r="E67" s="29"/>
      <c r="G67" s="7">
        <v>3</v>
      </c>
      <c r="H67" s="7"/>
      <c r="I67" s="7"/>
      <c r="J67" s="7"/>
      <c r="K67" s="7"/>
      <c r="L67" s="7"/>
      <c r="M67" s="7"/>
      <c r="N67" s="7"/>
      <c r="O67" s="7"/>
      <c r="P67" s="7">
        <v>3</v>
      </c>
    </row>
    <row r="68" spans="2:17" x14ac:dyDescent="0.35">
      <c r="B68" s="19"/>
      <c r="C68" s="22" t="s">
        <v>105</v>
      </c>
      <c r="D68" s="23">
        <f>SUM(D62:D67)</f>
        <v>16</v>
      </c>
      <c r="E68" s="30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2:17" x14ac:dyDescent="0.35">
      <c r="B69" s="24"/>
      <c r="G69" s="25" t="s">
        <v>100</v>
      </c>
    </row>
    <row r="70" spans="2:17" x14ac:dyDescent="0.35">
      <c r="C70" s="2" t="s">
        <v>101</v>
      </c>
      <c r="D70" s="27">
        <f ca="1">SUM(D9,D18,D27,D36,D44,D52,D60,D68)</f>
        <v>134</v>
      </c>
      <c r="E70" s="27"/>
      <c r="G70" s="4">
        <f>SUM(G4:G68)</f>
        <v>134</v>
      </c>
      <c r="I70" s="4">
        <f t="shared" ref="I70:P70" si="0">SUM(I4:I68)</f>
        <v>15</v>
      </c>
      <c r="J70" s="4">
        <f t="shared" si="0"/>
        <v>17</v>
      </c>
      <c r="K70" s="4">
        <f t="shared" si="0"/>
        <v>18</v>
      </c>
      <c r="L70" s="4">
        <f t="shared" si="0"/>
        <v>17</v>
      </c>
      <c r="M70" s="4">
        <f t="shared" si="0"/>
        <v>18</v>
      </c>
      <c r="N70" s="4">
        <f t="shared" si="0"/>
        <v>17</v>
      </c>
      <c r="O70" s="4">
        <f t="shared" si="0"/>
        <v>16</v>
      </c>
      <c r="P70" s="4">
        <f t="shared" si="0"/>
        <v>16</v>
      </c>
      <c r="Q70" s="4">
        <f>SUM(I70:P70)</f>
        <v>134</v>
      </c>
    </row>
  </sheetData>
  <mergeCells count="1">
    <mergeCell ref="I2:P2"/>
  </mergeCells>
  <hyperlinks>
    <hyperlink ref="B31" r:id="rId1" display="https://catalogo.uniandes.edu.co/2017/Catalogo/Cursos/IELE/2000/IELE-2002" xr:uid="{63F3BD60-B3F0-4499-83F7-8C8D77F509E5}"/>
    <hyperlink ref="B22" r:id="rId2" display="https://catalogo.uniandes.edu.co/2017/Catalogo/Cursos/IELE/2000/IELE-2500" xr:uid="{57D863DA-1A46-4312-91A6-17D3AE831FF4}"/>
    <hyperlink ref="B41" r:id="rId3" display="https://catalogo.uniandes.edu.co/2017/Catalogo/Cursos/IELE/2000/IELE-2300" xr:uid="{A7B861A3-6D4E-4988-B8C8-BFD9C15D90F0}"/>
    <hyperlink ref="B42" r:id="rId4" display="https://catalogo.uniandes.edu.co/2017/Catalogo/Cursos/IELE/3000/IELE-3102" xr:uid="{27804067-CA4C-4CF8-BC9B-3AAB6F174CB8}"/>
    <hyperlink ref="B26" r:id="rId5" display="https://catalogo.uniandes.edu.co/2017/Catalogo/Cursos/GENERALES-Y-REQUISITOS/CBU" xr:uid="{2642680C-C714-4A46-874F-E4FD5C134792}"/>
    <hyperlink ref="B50" r:id="rId6" display="https://catalogo.uniandes.edu.co/2017/Catalogo/Cursos/IELE/3000/IELE-3110" xr:uid="{DDE0F986-F321-4DF0-B7FA-9E6D8410BAD0}"/>
    <hyperlink ref="B48" r:id="rId7" display="https://catalogo.uniandes.edu.co/2017/Catalogo/Cursos/IELE/3000/IELE-3006" xr:uid="{6CFA4CCE-1DBF-4308-B929-9775378E1E7E}"/>
    <hyperlink ref="B59" r:id="rId8" display="https://catalogo.uniandes.edu.co/2017/Catalogo/Cursos/GENERALES-Y-REQUISITOS/CLE" xr:uid="{4829FFDE-B4DA-41A5-AF3C-2BEE21F7A128}"/>
    <hyperlink ref="B67" r:id="rId9" display="https://catalogo.uniandes.edu.co/2017/Catalogo/Cursos/GENERALES-Y-REQUISITOS/CBU" xr:uid="{77D8B9F7-74E9-4F92-B34E-BA7EA7F4DE35}"/>
    <hyperlink ref="B7" r:id="rId10" display="https://catalogo.uniandes.edu.co/2017/Catalogo/Cursos/GENERALES-Y-REQUISITOS/REQESPA" xr:uid="{DF4460A6-D331-4B77-9AC5-E45678827899}"/>
    <hyperlink ref="B15" r:id="rId11" display="https://catalogo.uniandes.edu.co/2017/Catalogo/Cursos/MATE/1000/MATE-1105" xr:uid="{AB4BCB6C-6F1A-43A0-BF68-932AECDFF92A}"/>
    <hyperlink ref="B14" r:id="rId12" display="https://catalogo.uniandes.edu.co/2017/Catalogo/Cursos/MATE/1000/MATE-1214" xr:uid="{815DD1AF-E1CD-4FF2-B42F-8C3411246C03}"/>
    <hyperlink ref="B23" r:id="rId13" display="https://catalogo.uniandes.edu.co/2017/Catalogo/Cursos/MATE/1000/MATE-1207" xr:uid="{CB614553-EE7B-4AC2-BB98-1D00F38B47B5}"/>
    <hyperlink ref="B24" r:id="rId14" display="https://catalogo.uniandes.edu.co/2017/Catalogo/Cursos/MATE/2000/MATE-2210" xr:uid="{7DFD6215-D288-49F9-9113-2AC75FC7AB83}"/>
    <hyperlink ref="B43" r:id="rId15" display="https://catalogo.uniandes.edu.co/2017/Catalogo/Cursos/DERE/1000/DERE-1300" xr:uid="{9D15C72B-5DC7-4B69-80EC-D1764791CB5B}"/>
    <hyperlink ref="B66" r:id="rId16" display="https://catalogo.uniandes.edu.co/2017/Catalogo/Cursos/GENERALES-Y-REQUISITOS/CBU" xr:uid="{BFEBF030-3B3F-4D69-8EB9-BA24AB801BE5}"/>
    <hyperlink ref="B65" r:id="rId17" display="https://catalogo.uniandes.edu.co/2017/Catalogo/Cursos/GENERALES-Y-REQUISITOS/CLE" xr:uid="{13BC76D2-51D2-4911-BE71-62F1AFB18F2C}"/>
    <hyperlink ref="B8" r:id="rId18" display="https://catalogo.uniandes.edu.co/2017/Catalogo/Cursos/GENERALES-Y-REQUISITOS/CBU" xr:uid="{8C1EFDB3-C17E-4B79-B32E-506CC66F1FD4}"/>
    <hyperlink ref="B34" r:id="rId19" display="https://catalogo.uniandes.edu.co/2017/Catalogo/Cursos/GENERALES-Y-REQUISITOS/CBU" xr:uid="{493EB8CB-2D1C-4C2D-BDB0-6723965EAE63}"/>
    <hyperlink ref="B55" r:id="rId20" display="https://catalogo.uniandes.edu.co/2017/Catalogo/Cursos/IELE/2000/IELE-2010" xr:uid="{E05BB409-58BE-4472-B05F-2709AF975726}"/>
    <hyperlink ref="B51" r:id="rId21" display="https://catalogo.uniandes.edu.co/2017/Catalogo/Cursos/IELE/Generales/XXXX-Electiva-en-Fundamentos-de-Ingenier-237-a-3" xr:uid="{53B6685B-8928-4E63-B858-621D934CA35F}"/>
    <hyperlink ref="B5" r:id="rId22" display="https://catalogo.uniandes.edu.co/2017/Catalogo/Cursos/MATE/1000/MATE-1203" xr:uid="{3F39EE4D-E750-48D3-BB19-35858ABEE2CC}"/>
    <hyperlink ref="B6" r:id="rId23" display="http://uniandes.smartcatalogiq.com/Catalogo-general-2022/Catalogo/Cursos/ISIS/1000/ISIS-1221" xr:uid="{51CEDDAF-0490-4B4E-9A1E-4ADFD34C5D13}"/>
    <hyperlink ref="B30" r:id="rId24" display="https://catalogo.uniandes.edu.co/2017/Catalogo/Cursos/IELE/2000/IELE-2206" xr:uid="{2BB8C39C-03B3-44B2-9ACD-8E01FF3E0515}"/>
    <hyperlink ref="B32" r:id="rId25" display="https://catalogo.uniandes.edu.co/2017/Catalogo/Cursos/IIND/2000/IIND-2106" xr:uid="{4FF6B025-2875-4309-A41C-0C5DF6179CCC}"/>
    <hyperlink ref="B38" r:id="rId26" display="https://catalogo.uniandes.edu.co/2017/Catalogo/Cursos/IIND/2000/IIND-2401" xr:uid="{8BCC9D5D-E06D-4B55-9720-4F4F7893E564}"/>
    <hyperlink ref="B40" r:id="rId27" display="https://catalogo.uniandes.edu.co/2017/Catalogo/Cursos/IELE/2000/IELE-2402" xr:uid="{14347706-139A-4410-8CD1-A6E141597525}"/>
    <hyperlink ref="B39" r:id="rId28" display="https://catalogo.uniandes.edu.co/2017/Catalogo/Cursos/IELE/2000/IELE-2009" xr:uid="{17598A6C-17A4-4C18-87E1-62C069421DE6}"/>
    <hyperlink ref="B17" r:id="rId29" display="https://catalogo.uniandes.edu.co/2017/Catalogo/Cursos/GENERALES-Y-REQUISITOS/CBU" xr:uid="{98FF6CB4-1094-4510-8BA3-C0CEA37A694F}"/>
  </hyperlinks>
  <pageMargins left="0.7" right="0.7" top="0.75" bottom="0.75" header="0.3" footer="0.3"/>
  <pageSetup orientation="portrait"/>
  <legacy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3F43-E4A1-43A0-AF42-A08C67394FEF}">
  <dimension ref="A1:T73"/>
  <sheetViews>
    <sheetView topLeftCell="B1" workbookViewId="0">
      <selection activeCell="C7" sqref="C7"/>
    </sheetView>
  </sheetViews>
  <sheetFormatPr baseColWidth="10" defaultColWidth="11.453125" defaultRowHeight="14.5" x14ac:dyDescent="0.35"/>
  <cols>
    <col min="1" max="1" width="3" style="1" customWidth="1"/>
    <col min="2" max="2" width="14.81640625" style="26" customWidth="1"/>
    <col min="3" max="3" width="48.7265625" style="1" customWidth="1"/>
    <col min="4" max="4" width="10.1796875" style="1" customWidth="1"/>
    <col min="5" max="5" width="1.26953125" style="1" customWidth="1"/>
    <col min="6" max="6" width="1.26953125" style="4" customWidth="1"/>
    <col min="7" max="7" width="12" style="4" bestFit="1" customWidth="1"/>
    <col min="8" max="8" width="1.453125" style="4" customWidth="1"/>
    <col min="9" max="9" width="6.453125" style="4" bestFit="1" customWidth="1"/>
    <col min="10" max="12" width="6" style="4" bestFit="1" customWidth="1"/>
    <col min="13" max="13" width="6.453125" style="4" bestFit="1" customWidth="1"/>
    <col min="14" max="16" width="6" style="4" bestFit="1" customWidth="1"/>
    <col min="17" max="17" width="7.54296875" style="1" customWidth="1"/>
    <col min="18" max="20" width="11.453125" style="1"/>
  </cols>
  <sheetData>
    <row r="1" spans="2:16" x14ac:dyDescent="0.35">
      <c r="B1" s="3" t="s">
        <v>102</v>
      </c>
    </row>
    <row r="2" spans="2:16" x14ac:dyDescent="0.35">
      <c r="B2" s="3" t="s">
        <v>138</v>
      </c>
      <c r="I2" s="78" t="s">
        <v>56</v>
      </c>
      <c r="J2" s="79"/>
      <c r="K2" s="79"/>
      <c r="L2" s="79"/>
      <c r="M2" s="80"/>
      <c r="N2" s="80"/>
      <c r="O2" s="80"/>
      <c r="P2" s="81"/>
    </row>
    <row r="3" spans="2:16" x14ac:dyDescent="0.35">
      <c r="B3" s="5" t="s">
        <v>103</v>
      </c>
      <c r="G3" s="6" t="s">
        <v>57</v>
      </c>
      <c r="H3" s="7"/>
      <c r="I3" s="7" t="s">
        <v>58</v>
      </c>
      <c r="J3" s="7" t="s">
        <v>59</v>
      </c>
      <c r="K3" s="7" t="s">
        <v>60</v>
      </c>
      <c r="L3" s="7" t="s">
        <v>61</v>
      </c>
      <c r="M3" s="7" t="s">
        <v>62</v>
      </c>
      <c r="N3" s="7" t="s">
        <v>63</v>
      </c>
      <c r="O3" s="7" t="s">
        <v>64</v>
      </c>
      <c r="P3" s="7" t="s">
        <v>65</v>
      </c>
    </row>
    <row r="4" spans="2:16" x14ac:dyDescent="0.35">
      <c r="B4" s="8" t="s">
        <v>104</v>
      </c>
      <c r="C4" s="32" t="s">
        <v>2</v>
      </c>
      <c r="D4" s="10">
        <v>3</v>
      </c>
      <c r="E4" s="29"/>
      <c r="G4" s="6">
        <v>3</v>
      </c>
      <c r="H4" s="7"/>
      <c r="I4" s="7">
        <v>3</v>
      </c>
      <c r="J4" s="7"/>
      <c r="K4" s="7"/>
      <c r="L4" s="7"/>
      <c r="M4" s="7"/>
      <c r="N4" s="7"/>
      <c r="O4" s="7"/>
      <c r="P4" s="7"/>
    </row>
    <row r="5" spans="2:16" x14ac:dyDescent="0.35">
      <c r="B5" s="13" t="s">
        <v>126</v>
      </c>
      <c r="C5" s="1" t="s">
        <v>1</v>
      </c>
      <c r="D5" s="14">
        <v>3</v>
      </c>
      <c r="E5" s="4"/>
      <c r="G5" s="6">
        <v>3</v>
      </c>
      <c r="H5" s="7"/>
      <c r="I5" s="7">
        <v>3</v>
      </c>
      <c r="J5" s="7"/>
      <c r="K5" s="7"/>
      <c r="L5" s="7"/>
      <c r="M5" s="7"/>
      <c r="N5" s="7"/>
      <c r="O5" s="7"/>
      <c r="P5" s="7"/>
    </row>
    <row r="6" spans="2:16" x14ac:dyDescent="0.35">
      <c r="B6" s="11" t="s">
        <v>68</v>
      </c>
      <c r="C6" s="1" t="s">
        <v>4</v>
      </c>
      <c r="D6" s="12">
        <v>3</v>
      </c>
      <c r="E6" s="29"/>
      <c r="G6" s="6">
        <v>3</v>
      </c>
      <c r="H6" s="7"/>
      <c r="I6" s="7">
        <v>3</v>
      </c>
      <c r="J6" s="7"/>
      <c r="K6" s="7"/>
      <c r="L6" s="7"/>
      <c r="M6" s="7"/>
      <c r="N6" s="7"/>
      <c r="O6" s="7"/>
      <c r="P6" s="7"/>
    </row>
    <row r="7" spans="2:16" ht="16.5" customHeight="1" x14ac:dyDescent="0.35">
      <c r="B7" s="13" t="s">
        <v>122</v>
      </c>
      <c r="C7" s="1" t="s">
        <v>123</v>
      </c>
      <c r="D7" s="12">
        <v>3</v>
      </c>
      <c r="E7" s="29"/>
      <c r="G7" s="6">
        <v>3</v>
      </c>
      <c r="H7" s="7"/>
      <c r="I7" s="7">
        <v>3</v>
      </c>
      <c r="J7" s="7"/>
      <c r="K7" s="7"/>
      <c r="L7" s="7"/>
      <c r="M7" s="7"/>
      <c r="N7" s="7"/>
      <c r="O7" s="7"/>
      <c r="P7" s="7"/>
    </row>
    <row r="8" spans="2:16" x14ac:dyDescent="0.35">
      <c r="B8" s="45" t="s">
        <v>11</v>
      </c>
      <c r="C8" s="1" t="s">
        <v>12</v>
      </c>
      <c r="D8" s="46">
        <v>3</v>
      </c>
      <c r="E8" s="29"/>
      <c r="G8" s="7">
        <v>3</v>
      </c>
      <c r="H8" s="7"/>
      <c r="I8" s="7">
        <v>3</v>
      </c>
      <c r="J8" s="7"/>
      <c r="K8" s="7"/>
      <c r="L8" s="7"/>
      <c r="M8" s="7"/>
      <c r="N8" s="7"/>
      <c r="O8" s="7"/>
      <c r="P8" s="7"/>
    </row>
    <row r="9" spans="2:16" x14ac:dyDescent="0.35">
      <c r="B9" s="16"/>
      <c r="C9" s="17" t="s">
        <v>105</v>
      </c>
      <c r="D9" s="18">
        <f>SUM(D4:D8)</f>
        <v>15</v>
      </c>
      <c r="E9" s="30"/>
      <c r="G9" s="6"/>
      <c r="H9" s="7"/>
      <c r="I9" s="7"/>
      <c r="J9" s="7"/>
      <c r="K9" s="7"/>
      <c r="L9" s="7"/>
      <c r="M9" s="7"/>
      <c r="N9" s="7"/>
      <c r="O9" s="7"/>
      <c r="P9" s="7"/>
    </row>
    <row r="10" spans="2:16" x14ac:dyDescent="0.35">
      <c r="B10" s="5" t="s">
        <v>106</v>
      </c>
      <c r="G10" s="6"/>
      <c r="H10" s="7"/>
      <c r="I10" s="7"/>
      <c r="J10" s="7"/>
      <c r="K10" s="7"/>
      <c r="L10" s="7"/>
      <c r="M10" s="7"/>
      <c r="N10" s="7"/>
      <c r="O10" s="7"/>
      <c r="P10" s="7"/>
    </row>
    <row r="11" spans="2:16" x14ac:dyDescent="0.35">
      <c r="B11" s="8" t="s">
        <v>71</v>
      </c>
      <c r="C11" s="32" t="s">
        <v>7</v>
      </c>
      <c r="D11" s="10">
        <v>1</v>
      </c>
      <c r="E11" s="29"/>
      <c r="G11" s="6">
        <v>1</v>
      </c>
      <c r="H11" s="7"/>
      <c r="I11" s="7"/>
      <c r="J11" s="7">
        <v>1</v>
      </c>
      <c r="K11" s="7"/>
      <c r="L11" s="7"/>
      <c r="M11" s="7"/>
      <c r="N11" s="7"/>
      <c r="O11" s="7"/>
      <c r="P11" s="7"/>
    </row>
    <row r="12" spans="2:16" x14ac:dyDescent="0.35">
      <c r="B12" s="15" t="s">
        <v>70</v>
      </c>
      <c r="C12" s="1" t="s">
        <v>6</v>
      </c>
      <c r="D12" s="12">
        <v>3</v>
      </c>
      <c r="E12" s="29"/>
      <c r="G12" s="6">
        <v>3</v>
      </c>
      <c r="H12" s="7"/>
      <c r="I12" s="7"/>
      <c r="J12" s="7">
        <v>3</v>
      </c>
      <c r="K12" s="7"/>
      <c r="L12" s="7"/>
      <c r="M12" s="7"/>
      <c r="N12" s="7"/>
      <c r="O12" s="7"/>
      <c r="P12" s="7"/>
    </row>
    <row r="13" spans="2:16" x14ac:dyDescent="0.35">
      <c r="B13" s="15" t="s">
        <v>43</v>
      </c>
      <c r="C13" s="31" t="s">
        <v>44</v>
      </c>
      <c r="D13" s="12">
        <v>3</v>
      </c>
      <c r="E13" s="29"/>
      <c r="G13" s="7">
        <v>3</v>
      </c>
      <c r="H13" s="7"/>
      <c r="I13" s="7"/>
      <c r="J13" s="7">
        <v>3</v>
      </c>
      <c r="K13" s="7"/>
      <c r="L13" s="7"/>
      <c r="M13" s="7"/>
      <c r="N13" s="7"/>
      <c r="O13" s="7"/>
      <c r="P13" s="7"/>
    </row>
    <row r="14" spans="2:16" x14ac:dyDescent="0.35">
      <c r="B14" s="15" t="s">
        <v>112</v>
      </c>
      <c r="C14" s="1" t="s">
        <v>113</v>
      </c>
      <c r="D14" s="12">
        <v>2</v>
      </c>
      <c r="E14" s="29"/>
      <c r="G14" s="6">
        <v>2</v>
      </c>
      <c r="H14" s="7"/>
      <c r="I14" s="7"/>
      <c r="J14" s="7">
        <v>2</v>
      </c>
      <c r="K14" s="7"/>
      <c r="L14" s="7"/>
      <c r="M14" s="7"/>
      <c r="N14" s="7"/>
      <c r="O14" s="7"/>
      <c r="P14" s="7"/>
    </row>
    <row r="15" spans="2:16" x14ac:dyDescent="0.35">
      <c r="B15" s="13" t="s">
        <v>69</v>
      </c>
      <c r="C15" s="1" t="s">
        <v>5</v>
      </c>
      <c r="D15" s="14">
        <v>2</v>
      </c>
      <c r="E15" s="4"/>
      <c r="G15" s="6">
        <v>2</v>
      </c>
      <c r="H15" s="7"/>
      <c r="I15" s="7"/>
      <c r="J15" s="7">
        <v>2</v>
      </c>
      <c r="K15" s="7"/>
      <c r="L15" s="7"/>
      <c r="M15" s="7"/>
      <c r="N15" s="7"/>
      <c r="O15" s="7"/>
      <c r="P15" s="7"/>
    </row>
    <row r="16" spans="2:16" x14ac:dyDescent="0.35">
      <c r="B16" s="15" t="s">
        <v>11</v>
      </c>
      <c r="C16" s="1" t="s">
        <v>12</v>
      </c>
      <c r="D16" s="12">
        <v>3</v>
      </c>
      <c r="E16" s="29"/>
      <c r="G16" s="6">
        <v>3</v>
      </c>
      <c r="H16" s="7"/>
      <c r="I16" s="7"/>
      <c r="J16" s="7">
        <v>3</v>
      </c>
      <c r="K16" s="7"/>
      <c r="L16" s="7"/>
      <c r="M16" s="7"/>
      <c r="N16" s="7"/>
      <c r="O16" s="7"/>
      <c r="P16" s="7"/>
    </row>
    <row r="17" spans="2:16" x14ac:dyDescent="0.35">
      <c r="B17" s="15" t="s">
        <v>11</v>
      </c>
      <c r="C17" s="1" t="s">
        <v>12</v>
      </c>
      <c r="D17" s="12">
        <v>3</v>
      </c>
      <c r="E17" s="29"/>
      <c r="G17" s="6">
        <v>3</v>
      </c>
      <c r="H17" s="7"/>
      <c r="I17" s="7"/>
      <c r="J17" s="7">
        <v>3</v>
      </c>
      <c r="K17" s="7"/>
      <c r="L17" s="7"/>
      <c r="M17" s="7"/>
      <c r="N17" s="7"/>
      <c r="O17" s="7"/>
      <c r="P17" s="7"/>
    </row>
    <row r="18" spans="2:16" x14ac:dyDescent="0.35">
      <c r="B18" s="16"/>
      <c r="C18" s="17" t="s">
        <v>105</v>
      </c>
      <c r="D18" s="18">
        <f>SUM(D11:D17)</f>
        <v>17</v>
      </c>
      <c r="E18" s="30"/>
      <c r="G18" s="6"/>
      <c r="H18" s="7"/>
      <c r="I18" s="7"/>
      <c r="J18" s="7"/>
      <c r="K18" s="7"/>
      <c r="L18" s="7"/>
      <c r="M18" s="7"/>
      <c r="N18" s="7"/>
      <c r="O18" s="7"/>
      <c r="P18" s="7"/>
    </row>
    <row r="19" spans="2:16" x14ac:dyDescent="0.35">
      <c r="B19" s="5" t="s">
        <v>107</v>
      </c>
      <c r="G19" s="6"/>
      <c r="H19" s="7"/>
      <c r="I19" s="7"/>
      <c r="J19" s="7"/>
      <c r="K19" s="7"/>
      <c r="L19" s="7"/>
      <c r="M19" s="7"/>
      <c r="N19" s="7"/>
      <c r="O19" s="7"/>
      <c r="P19" s="7"/>
    </row>
    <row r="20" spans="2:16" x14ac:dyDescent="0.35">
      <c r="B20" s="34" t="s">
        <v>76</v>
      </c>
      <c r="C20" s="32" t="s">
        <v>13</v>
      </c>
      <c r="D20" s="10">
        <v>1</v>
      </c>
      <c r="E20" s="29"/>
      <c r="G20" s="6">
        <v>1</v>
      </c>
      <c r="H20" s="7"/>
      <c r="I20" s="7"/>
      <c r="J20" s="7"/>
      <c r="K20" s="7">
        <v>1</v>
      </c>
      <c r="L20" s="7"/>
      <c r="M20" s="7"/>
      <c r="N20" s="7"/>
      <c r="O20" s="7"/>
      <c r="P20" s="7"/>
    </row>
    <row r="21" spans="2:16" x14ac:dyDescent="0.35">
      <c r="B21" s="33" t="s">
        <v>72</v>
      </c>
      <c r="C21" s="31" t="s">
        <v>8</v>
      </c>
      <c r="D21" s="12">
        <v>3</v>
      </c>
      <c r="E21" s="29"/>
      <c r="G21" s="6">
        <v>3</v>
      </c>
      <c r="H21" s="7"/>
      <c r="I21" s="7"/>
      <c r="J21" s="7"/>
      <c r="K21" s="7">
        <v>3</v>
      </c>
      <c r="L21" s="7"/>
      <c r="M21" s="7"/>
      <c r="N21" s="7"/>
      <c r="O21" s="7"/>
      <c r="P21" s="7"/>
    </row>
    <row r="22" spans="2:16" x14ac:dyDescent="0.35">
      <c r="B22" s="15" t="s">
        <v>73</v>
      </c>
      <c r="C22" s="31" t="s">
        <v>9</v>
      </c>
      <c r="D22" s="12">
        <v>3</v>
      </c>
      <c r="E22" s="29"/>
      <c r="G22" s="6">
        <v>3</v>
      </c>
      <c r="H22" s="7"/>
      <c r="I22" s="7"/>
      <c r="J22" s="7"/>
      <c r="K22" s="7">
        <v>3</v>
      </c>
      <c r="L22" s="7"/>
      <c r="M22" s="7"/>
      <c r="N22" s="7"/>
      <c r="O22" s="7"/>
      <c r="P22" s="7"/>
    </row>
    <row r="23" spans="2:16" x14ac:dyDescent="0.35">
      <c r="B23" s="15" t="s">
        <v>74</v>
      </c>
      <c r="C23" s="31" t="s">
        <v>10</v>
      </c>
      <c r="D23" s="12">
        <v>3</v>
      </c>
      <c r="E23" s="29"/>
      <c r="G23" s="6">
        <v>3</v>
      </c>
      <c r="H23" s="7"/>
      <c r="I23" s="7"/>
      <c r="J23" s="7"/>
      <c r="K23" s="7">
        <v>3</v>
      </c>
      <c r="L23" s="7"/>
      <c r="M23" s="7"/>
      <c r="N23" s="7"/>
      <c r="O23" s="7"/>
      <c r="P23" s="7"/>
    </row>
    <row r="24" spans="2:16" x14ac:dyDescent="0.35">
      <c r="B24" s="33" t="s">
        <v>75</v>
      </c>
      <c r="C24" s="1" t="s">
        <v>51</v>
      </c>
      <c r="D24" s="12">
        <v>3</v>
      </c>
      <c r="E24" s="29"/>
      <c r="G24" s="6">
        <v>3</v>
      </c>
      <c r="H24" s="7"/>
      <c r="I24" s="7"/>
      <c r="J24" s="7"/>
      <c r="K24" s="7">
        <v>3</v>
      </c>
      <c r="L24" s="7"/>
      <c r="M24" s="7"/>
      <c r="N24" s="7"/>
      <c r="O24" s="7"/>
      <c r="P24" s="7"/>
    </row>
    <row r="25" spans="2:16" x14ac:dyDescent="0.35">
      <c r="B25" s="15" t="s">
        <v>80</v>
      </c>
      <c r="C25" s="31" t="s">
        <v>17</v>
      </c>
      <c r="D25" s="12">
        <v>3</v>
      </c>
      <c r="E25" s="29"/>
      <c r="G25" s="7">
        <v>3</v>
      </c>
      <c r="H25" s="7"/>
      <c r="I25" s="7"/>
      <c r="J25" s="7"/>
      <c r="K25" s="7">
        <v>3</v>
      </c>
      <c r="L25" s="7"/>
      <c r="M25" s="7"/>
      <c r="N25" s="7"/>
      <c r="O25" s="7"/>
      <c r="P25" s="7"/>
    </row>
    <row r="26" spans="2:16" x14ac:dyDescent="0.35">
      <c r="B26" s="16"/>
      <c r="C26" s="17" t="s">
        <v>105</v>
      </c>
      <c r="D26" s="18">
        <f>SUM(D20:D25)</f>
        <v>16</v>
      </c>
      <c r="E26" s="30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2:16" x14ac:dyDescent="0.35">
      <c r="B27" s="5" t="s">
        <v>110</v>
      </c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2:16" x14ac:dyDescent="0.35">
      <c r="B28" s="8" t="s">
        <v>34</v>
      </c>
      <c r="C28" s="32" t="s">
        <v>108</v>
      </c>
      <c r="D28" s="10">
        <v>3</v>
      </c>
      <c r="E28" s="29"/>
      <c r="G28" s="6">
        <v>3</v>
      </c>
      <c r="H28" s="7"/>
      <c r="I28" s="7"/>
      <c r="J28" s="7"/>
      <c r="K28" s="7"/>
      <c r="L28" s="7">
        <v>3</v>
      </c>
      <c r="M28" s="7"/>
      <c r="N28" s="7"/>
      <c r="O28" s="7"/>
      <c r="P28" s="7"/>
    </row>
    <row r="29" spans="2:16" x14ac:dyDescent="0.35">
      <c r="B29" s="15" t="s">
        <v>77</v>
      </c>
      <c r="C29" s="31" t="s">
        <v>14</v>
      </c>
      <c r="D29" s="12">
        <v>3</v>
      </c>
      <c r="E29" s="29"/>
      <c r="G29" s="7">
        <v>3</v>
      </c>
      <c r="H29" s="7"/>
      <c r="I29" s="7"/>
      <c r="J29" s="7"/>
      <c r="K29" s="7"/>
      <c r="L29" s="7">
        <v>3</v>
      </c>
      <c r="M29" s="7"/>
      <c r="N29" s="7"/>
      <c r="O29" s="7"/>
      <c r="P29" s="7"/>
    </row>
    <row r="30" spans="2:16" x14ac:dyDescent="0.35">
      <c r="B30" s="15" t="s">
        <v>24</v>
      </c>
      <c r="C30" s="31" t="s">
        <v>15</v>
      </c>
      <c r="D30" s="12">
        <v>3</v>
      </c>
      <c r="E30" s="29"/>
      <c r="G30" s="7">
        <v>3</v>
      </c>
      <c r="H30" s="7"/>
      <c r="I30" s="7"/>
      <c r="J30" s="7"/>
      <c r="K30" s="7"/>
      <c r="L30" s="7">
        <v>3</v>
      </c>
      <c r="M30" s="7"/>
      <c r="N30" s="7"/>
      <c r="O30" s="7"/>
      <c r="P30" s="7"/>
    </row>
    <row r="31" spans="2:16" x14ac:dyDescent="0.35">
      <c r="B31" s="15" t="s">
        <v>78</v>
      </c>
      <c r="C31" s="31" t="s">
        <v>109</v>
      </c>
      <c r="D31" s="12">
        <v>2</v>
      </c>
      <c r="E31" s="29"/>
      <c r="G31" s="7">
        <v>2</v>
      </c>
      <c r="H31" s="7"/>
      <c r="I31" s="7"/>
      <c r="J31" s="7"/>
      <c r="K31" s="7"/>
      <c r="L31" s="7">
        <v>2</v>
      </c>
      <c r="M31" s="7"/>
      <c r="N31" s="7"/>
      <c r="O31" s="7"/>
      <c r="P31" s="7"/>
    </row>
    <row r="32" spans="2:16" x14ac:dyDescent="0.35">
      <c r="B32" s="15" t="s">
        <v>83</v>
      </c>
      <c r="C32" s="31" t="s">
        <v>19</v>
      </c>
      <c r="D32" s="12">
        <v>3</v>
      </c>
      <c r="E32" s="29"/>
      <c r="G32" s="7">
        <v>3</v>
      </c>
      <c r="H32" s="7"/>
      <c r="I32" s="7"/>
      <c r="J32" s="7"/>
      <c r="K32" s="7"/>
      <c r="L32" s="7">
        <v>3</v>
      </c>
      <c r="M32" s="7"/>
      <c r="N32" s="7"/>
      <c r="O32" s="7"/>
      <c r="P32" s="7"/>
    </row>
    <row r="33" spans="2:16" x14ac:dyDescent="0.35">
      <c r="B33" s="35" t="s">
        <v>79</v>
      </c>
      <c r="C33" s="36" t="s">
        <v>52</v>
      </c>
      <c r="D33" s="12">
        <v>3</v>
      </c>
      <c r="E33" s="29"/>
      <c r="G33" s="6">
        <v>3</v>
      </c>
      <c r="H33" s="7"/>
      <c r="I33" s="7"/>
      <c r="J33" s="7"/>
      <c r="K33" s="7"/>
      <c r="L33" s="7">
        <v>3</v>
      </c>
      <c r="O33" s="7"/>
      <c r="P33" s="7"/>
    </row>
    <row r="34" spans="2:16" x14ac:dyDescent="0.35">
      <c r="B34" s="16"/>
      <c r="C34" s="17" t="s">
        <v>105</v>
      </c>
      <c r="D34" s="18">
        <f>SUM(D28:D33)</f>
        <v>17</v>
      </c>
      <c r="E34" s="30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2:16" x14ac:dyDescent="0.35">
      <c r="B35" s="5" t="s">
        <v>114</v>
      </c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2:16" x14ac:dyDescent="0.35">
      <c r="B36" s="42" t="s">
        <v>82</v>
      </c>
      <c r="C36" s="43" t="s">
        <v>111</v>
      </c>
      <c r="D36" s="44">
        <v>2</v>
      </c>
      <c r="E36" s="29"/>
      <c r="G36" s="7">
        <v>2</v>
      </c>
      <c r="H36" s="7"/>
      <c r="I36" s="7"/>
      <c r="J36" s="7"/>
      <c r="K36" s="7"/>
      <c r="L36" s="7"/>
      <c r="M36" s="7">
        <v>2</v>
      </c>
      <c r="N36" s="7"/>
      <c r="O36" s="7"/>
      <c r="P36" s="7"/>
    </row>
    <row r="37" spans="2:16" x14ac:dyDescent="0.35">
      <c r="B37" s="45" t="s">
        <v>81</v>
      </c>
      <c r="C37" s="31" t="s">
        <v>21</v>
      </c>
      <c r="D37" s="46">
        <v>3</v>
      </c>
      <c r="E37" s="29"/>
      <c r="G37" s="7">
        <v>3</v>
      </c>
      <c r="H37" s="7"/>
      <c r="I37" s="7"/>
      <c r="J37" s="7"/>
      <c r="K37" s="7"/>
      <c r="L37" s="7"/>
      <c r="M37" s="7">
        <v>3</v>
      </c>
      <c r="N37" s="7"/>
      <c r="O37" s="7"/>
      <c r="P37" s="7"/>
    </row>
    <row r="38" spans="2:16" x14ac:dyDescent="0.35">
      <c r="B38" s="45" t="s">
        <v>84</v>
      </c>
      <c r="C38" s="31" t="s">
        <v>20</v>
      </c>
      <c r="D38" s="46">
        <v>3</v>
      </c>
      <c r="E38" s="29"/>
      <c r="G38" s="7">
        <v>3</v>
      </c>
      <c r="H38" s="7"/>
      <c r="I38" s="7"/>
      <c r="J38" s="7"/>
      <c r="K38" s="7"/>
      <c r="L38" s="7"/>
      <c r="M38" s="7">
        <v>3</v>
      </c>
      <c r="N38" s="7"/>
      <c r="O38" s="7"/>
      <c r="P38" s="7"/>
    </row>
    <row r="39" spans="2:16" x14ac:dyDescent="0.35">
      <c r="B39" s="45" t="s">
        <v>31</v>
      </c>
      <c r="C39" s="31" t="s">
        <v>25</v>
      </c>
      <c r="D39" s="46">
        <v>3</v>
      </c>
      <c r="E39" s="29"/>
      <c r="G39" s="7">
        <v>3</v>
      </c>
      <c r="H39" s="7"/>
      <c r="I39" s="7"/>
      <c r="J39" s="7"/>
      <c r="K39" s="7"/>
      <c r="L39" s="7"/>
      <c r="M39" s="7">
        <v>3</v>
      </c>
      <c r="N39" s="7"/>
      <c r="O39" s="7"/>
      <c r="P39" s="7"/>
    </row>
    <row r="40" spans="2:16" x14ac:dyDescent="0.35">
      <c r="B40" s="45" t="s">
        <v>85</v>
      </c>
      <c r="C40" s="31" t="s">
        <v>23</v>
      </c>
      <c r="D40" s="46">
        <v>3</v>
      </c>
      <c r="E40" s="29"/>
      <c r="G40" s="7">
        <v>3</v>
      </c>
      <c r="H40" s="7"/>
      <c r="I40" s="7"/>
      <c r="J40" s="7"/>
      <c r="K40" s="7"/>
      <c r="L40" s="7"/>
      <c r="M40" s="7">
        <v>3</v>
      </c>
      <c r="N40" s="7"/>
      <c r="O40" s="7"/>
      <c r="P40" s="7"/>
    </row>
    <row r="41" spans="2:16" x14ac:dyDescent="0.35">
      <c r="B41" s="45" t="s">
        <v>115</v>
      </c>
      <c r="C41" s="31" t="s">
        <v>28</v>
      </c>
      <c r="D41" s="46">
        <v>3</v>
      </c>
      <c r="E41" s="29"/>
      <c r="G41" s="7">
        <v>3</v>
      </c>
      <c r="H41" s="7"/>
      <c r="I41" s="7"/>
      <c r="J41" s="7"/>
      <c r="K41" s="7"/>
      <c r="L41" s="7"/>
      <c r="M41" s="7">
        <v>3</v>
      </c>
      <c r="N41" s="7"/>
      <c r="O41" s="7"/>
      <c r="P41" s="7"/>
    </row>
    <row r="42" spans="2:16" x14ac:dyDescent="0.35">
      <c r="B42" s="53"/>
      <c r="D42" s="54"/>
    </row>
    <row r="43" spans="2:16" x14ac:dyDescent="0.35">
      <c r="B43" s="47"/>
      <c r="C43" s="48" t="s">
        <v>105</v>
      </c>
      <c r="D43" s="49">
        <f>SUM(D36:D41)</f>
        <v>17</v>
      </c>
      <c r="E43" s="30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2:16" x14ac:dyDescent="0.35">
      <c r="B44" s="5" t="s">
        <v>116</v>
      </c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2:16" x14ac:dyDescent="0.35">
      <c r="B45" s="42" t="s">
        <v>88</v>
      </c>
      <c r="C45" s="43" t="s">
        <v>26</v>
      </c>
      <c r="D45" s="44">
        <v>3</v>
      </c>
      <c r="E45" s="29"/>
      <c r="G45" s="7">
        <v>3</v>
      </c>
      <c r="H45" s="7"/>
      <c r="I45" s="7"/>
      <c r="J45" s="7"/>
      <c r="K45" s="7"/>
      <c r="L45" s="7"/>
      <c r="M45" s="7"/>
      <c r="N45" s="7">
        <v>3</v>
      </c>
      <c r="P45" s="7"/>
    </row>
    <row r="46" spans="2:16" x14ac:dyDescent="0.35">
      <c r="B46" s="45" t="s">
        <v>89</v>
      </c>
      <c r="C46" s="31" t="s">
        <v>27</v>
      </c>
      <c r="D46" s="46">
        <v>3</v>
      </c>
      <c r="E46" s="29"/>
      <c r="G46" s="7">
        <v>3</v>
      </c>
      <c r="H46" s="7"/>
      <c r="I46" s="7"/>
      <c r="J46" s="7"/>
      <c r="K46" s="7"/>
      <c r="L46" s="7"/>
      <c r="M46" s="7"/>
      <c r="N46" s="7">
        <v>3</v>
      </c>
      <c r="O46" s="7"/>
      <c r="P46" s="7"/>
    </row>
    <row r="47" spans="2:16" x14ac:dyDescent="0.35">
      <c r="B47" s="45" t="s">
        <v>90</v>
      </c>
      <c r="C47" s="31" t="s">
        <v>40</v>
      </c>
      <c r="D47" s="46">
        <v>3</v>
      </c>
      <c r="E47" s="29"/>
      <c r="G47" s="7">
        <v>3</v>
      </c>
      <c r="H47" s="7"/>
      <c r="I47" s="7"/>
      <c r="J47" s="7"/>
      <c r="K47" s="7"/>
      <c r="L47" s="7"/>
      <c r="M47" s="7"/>
      <c r="N47" s="7">
        <v>3</v>
      </c>
      <c r="O47" s="7"/>
      <c r="P47" s="7"/>
    </row>
    <row r="48" spans="2:16" x14ac:dyDescent="0.35">
      <c r="B48" s="45" t="s">
        <v>87</v>
      </c>
      <c r="C48" s="31" t="s">
        <v>53</v>
      </c>
      <c r="D48" s="46">
        <v>3</v>
      </c>
      <c r="E48" s="29"/>
      <c r="G48" s="7">
        <v>3</v>
      </c>
      <c r="H48" s="7"/>
      <c r="I48" s="7"/>
      <c r="J48" s="7"/>
      <c r="K48" s="7"/>
      <c r="L48" s="7"/>
      <c r="M48" s="7"/>
      <c r="N48" s="7">
        <v>3</v>
      </c>
      <c r="O48" s="7"/>
      <c r="P48" s="7"/>
    </row>
    <row r="49" spans="2:16" x14ac:dyDescent="0.35">
      <c r="B49" s="45" t="s">
        <v>118</v>
      </c>
      <c r="C49" s="31" t="s">
        <v>36</v>
      </c>
      <c r="D49" s="46">
        <v>3</v>
      </c>
      <c r="E49" s="29"/>
      <c r="G49" s="7">
        <v>3</v>
      </c>
      <c r="H49" s="7"/>
      <c r="I49" s="7"/>
      <c r="J49" s="7"/>
      <c r="K49" s="7"/>
      <c r="L49" s="7"/>
      <c r="M49" s="7"/>
      <c r="N49" s="7">
        <v>3</v>
      </c>
      <c r="O49" s="7"/>
      <c r="P49" s="7"/>
    </row>
    <row r="50" spans="2:16" x14ac:dyDescent="0.35">
      <c r="B50" s="52" t="s">
        <v>117</v>
      </c>
      <c r="C50" s="31" t="s">
        <v>33</v>
      </c>
      <c r="D50" s="46">
        <v>2</v>
      </c>
      <c r="E50" s="29"/>
      <c r="G50" s="7">
        <v>2</v>
      </c>
      <c r="H50" s="7"/>
      <c r="I50" s="7"/>
      <c r="J50" s="7"/>
      <c r="K50" s="7"/>
      <c r="L50" s="7"/>
      <c r="M50" s="7"/>
      <c r="N50" s="7">
        <v>2</v>
      </c>
      <c r="O50" s="7"/>
      <c r="P50" s="7"/>
    </row>
    <row r="51" spans="2:16" x14ac:dyDescent="0.35">
      <c r="B51" s="47"/>
      <c r="C51" s="48" t="s">
        <v>105</v>
      </c>
      <c r="D51" s="49">
        <f>SUM(D45:D50)</f>
        <v>17</v>
      </c>
      <c r="E51" s="30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2:16" x14ac:dyDescent="0.35">
      <c r="B52" s="5" t="s">
        <v>119</v>
      </c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2:16" x14ac:dyDescent="0.35">
      <c r="B53" s="50" t="s">
        <v>91</v>
      </c>
      <c r="C53" s="43" t="s">
        <v>29</v>
      </c>
      <c r="D53" s="44">
        <v>3</v>
      </c>
      <c r="E53" s="29"/>
      <c r="G53" s="6">
        <v>3</v>
      </c>
      <c r="H53" s="7"/>
      <c r="I53" s="7"/>
      <c r="J53" s="7"/>
      <c r="K53" s="7"/>
      <c r="L53" s="7"/>
      <c r="M53" s="7"/>
      <c r="N53" s="7"/>
      <c r="O53" s="7">
        <v>3</v>
      </c>
      <c r="P53" s="7"/>
    </row>
    <row r="54" spans="2:16" x14ac:dyDescent="0.35">
      <c r="B54" s="51" t="s">
        <v>96</v>
      </c>
      <c r="C54" s="31" t="s">
        <v>39</v>
      </c>
      <c r="D54" s="46">
        <v>3</v>
      </c>
      <c r="E54" s="29"/>
      <c r="G54" s="7">
        <v>3</v>
      </c>
      <c r="H54" s="7"/>
      <c r="I54" s="7"/>
      <c r="J54" s="7"/>
      <c r="K54" s="7"/>
      <c r="L54" s="7"/>
      <c r="M54" s="7"/>
      <c r="N54" s="7"/>
      <c r="O54" s="7">
        <v>3</v>
      </c>
      <c r="P54" s="7"/>
    </row>
    <row r="55" spans="2:16" x14ac:dyDescent="0.35">
      <c r="B55" s="52" t="s">
        <v>92</v>
      </c>
      <c r="C55" s="1" t="s">
        <v>30</v>
      </c>
      <c r="D55" s="46">
        <v>3</v>
      </c>
      <c r="E55" s="29"/>
      <c r="G55" s="6">
        <v>3</v>
      </c>
      <c r="H55" s="7"/>
      <c r="I55" s="7"/>
      <c r="J55" s="7"/>
      <c r="K55" s="7"/>
      <c r="L55" s="7"/>
      <c r="M55" s="7"/>
      <c r="N55" s="7"/>
      <c r="O55" s="7">
        <v>3</v>
      </c>
      <c r="P55" s="7"/>
    </row>
    <row r="56" spans="2:16" x14ac:dyDescent="0.35">
      <c r="B56" s="45" t="s">
        <v>93</v>
      </c>
      <c r="C56" s="31" t="s">
        <v>32</v>
      </c>
      <c r="D56" s="46">
        <v>3</v>
      </c>
      <c r="E56" s="29"/>
      <c r="G56" s="7">
        <v>3</v>
      </c>
      <c r="H56" s="7"/>
      <c r="I56" s="7"/>
      <c r="J56" s="7"/>
      <c r="K56" s="7"/>
      <c r="L56" s="7"/>
      <c r="M56" s="7"/>
      <c r="N56" s="7"/>
      <c r="O56" s="7">
        <v>3</v>
      </c>
      <c r="P56" s="7"/>
    </row>
    <row r="57" spans="2:16" x14ac:dyDescent="0.35">
      <c r="B57" s="52" t="s">
        <v>95</v>
      </c>
      <c r="C57" s="31" t="s">
        <v>38</v>
      </c>
      <c r="D57" s="46">
        <v>2</v>
      </c>
      <c r="E57" s="29"/>
      <c r="G57" s="7">
        <v>2</v>
      </c>
      <c r="H57" s="7"/>
      <c r="I57" s="7"/>
      <c r="J57" s="7"/>
      <c r="K57" s="7"/>
      <c r="L57" s="7"/>
      <c r="M57" s="7"/>
      <c r="N57" s="7"/>
      <c r="O57" s="7">
        <v>2</v>
      </c>
      <c r="P57" s="7"/>
    </row>
    <row r="58" spans="2:16" x14ac:dyDescent="0.35">
      <c r="B58" s="52" t="s">
        <v>98</v>
      </c>
      <c r="C58" s="31" t="s">
        <v>49</v>
      </c>
      <c r="D58" s="46">
        <v>3</v>
      </c>
      <c r="E58" s="29"/>
      <c r="G58" s="7">
        <v>3</v>
      </c>
      <c r="H58" s="7"/>
      <c r="I58" s="7"/>
      <c r="J58" s="7"/>
      <c r="K58" s="7"/>
      <c r="L58" s="7"/>
      <c r="M58" s="7"/>
      <c r="N58" s="7"/>
      <c r="O58" s="7">
        <v>3</v>
      </c>
      <c r="P58" s="7"/>
    </row>
    <row r="59" spans="2:16" x14ac:dyDescent="0.35">
      <c r="B59" s="47"/>
      <c r="C59" s="48" t="s">
        <v>105</v>
      </c>
      <c r="D59" s="49">
        <f>SUM(D52:D58)</f>
        <v>17</v>
      </c>
      <c r="E59" s="30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2:16" x14ac:dyDescent="0.35">
      <c r="B60" s="5" t="s">
        <v>120</v>
      </c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2:16" x14ac:dyDescent="0.35">
      <c r="B61" s="8" t="s">
        <v>121</v>
      </c>
      <c r="C61" s="32" t="s">
        <v>47</v>
      </c>
      <c r="D61" s="10">
        <v>3</v>
      </c>
      <c r="E61" s="29"/>
      <c r="G61" s="6">
        <v>3</v>
      </c>
      <c r="H61" s="7"/>
      <c r="I61" s="7"/>
      <c r="J61" s="7"/>
      <c r="K61" s="7"/>
      <c r="L61" s="7"/>
      <c r="M61" s="7"/>
      <c r="N61" s="7"/>
      <c r="O61" s="7"/>
      <c r="P61" s="7">
        <v>3</v>
      </c>
    </row>
    <row r="62" spans="2:16" x14ac:dyDescent="0.35">
      <c r="B62" s="33" t="s">
        <v>95</v>
      </c>
      <c r="C62" s="31" t="s">
        <v>38</v>
      </c>
      <c r="D62" s="12">
        <v>2</v>
      </c>
      <c r="E62" s="29"/>
      <c r="G62" s="7">
        <v>2</v>
      </c>
      <c r="H62" s="7"/>
      <c r="I62" s="7"/>
      <c r="J62" s="7"/>
      <c r="K62" s="7"/>
      <c r="L62" s="7"/>
      <c r="M62" s="7"/>
      <c r="N62" s="7"/>
      <c r="O62" s="7"/>
      <c r="P62" s="7">
        <v>2</v>
      </c>
    </row>
    <row r="63" spans="2:16" x14ac:dyDescent="0.35">
      <c r="B63" s="33" t="s">
        <v>95</v>
      </c>
      <c r="C63" s="31" t="s">
        <v>38</v>
      </c>
      <c r="D63" s="12">
        <v>2</v>
      </c>
      <c r="E63" s="29"/>
      <c r="G63" s="7">
        <v>2</v>
      </c>
      <c r="H63" s="7"/>
      <c r="I63" s="7"/>
      <c r="J63" s="7"/>
      <c r="K63" s="7"/>
      <c r="L63" s="7"/>
      <c r="M63" s="7"/>
      <c r="N63" s="7"/>
      <c r="O63" s="7"/>
      <c r="P63" s="7">
        <v>2</v>
      </c>
    </row>
    <row r="64" spans="2:16" x14ac:dyDescent="0.35">
      <c r="B64" s="33" t="s">
        <v>95</v>
      </c>
      <c r="C64" s="31" t="s">
        <v>38</v>
      </c>
      <c r="D64" s="12">
        <v>2</v>
      </c>
      <c r="E64" s="29"/>
      <c r="G64" s="7">
        <v>2</v>
      </c>
      <c r="H64" s="7"/>
      <c r="I64" s="7"/>
      <c r="J64" s="7"/>
      <c r="K64" s="7"/>
      <c r="L64" s="7"/>
      <c r="M64" s="7"/>
      <c r="N64" s="7"/>
      <c r="O64" s="7"/>
      <c r="P64" s="7">
        <v>2</v>
      </c>
    </row>
    <row r="65" spans="2:17" x14ac:dyDescent="0.35">
      <c r="B65" s="15" t="s">
        <v>45</v>
      </c>
      <c r="C65" s="31" t="s">
        <v>46</v>
      </c>
      <c r="D65" s="12">
        <v>3</v>
      </c>
      <c r="E65" s="29"/>
      <c r="G65" s="7">
        <v>3</v>
      </c>
      <c r="H65" s="7"/>
      <c r="I65" s="7"/>
      <c r="J65" s="7"/>
      <c r="K65" s="7"/>
      <c r="L65" s="7"/>
      <c r="M65" s="7"/>
      <c r="N65" s="7"/>
      <c r="O65" s="7"/>
      <c r="P65" s="7">
        <v>3</v>
      </c>
    </row>
    <row r="66" spans="2:17" x14ac:dyDescent="0.35">
      <c r="B66" s="15" t="s">
        <v>11</v>
      </c>
      <c r="C66" s="1" t="s">
        <v>12</v>
      </c>
      <c r="D66" s="12">
        <v>3</v>
      </c>
      <c r="E66" s="29"/>
      <c r="G66" s="6">
        <v>3</v>
      </c>
      <c r="H66" s="7"/>
      <c r="I66" s="7"/>
      <c r="J66" s="7"/>
      <c r="K66" s="7"/>
      <c r="L66" s="7"/>
      <c r="M66" s="7"/>
      <c r="N66" s="7"/>
      <c r="O66" s="7"/>
      <c r="P66" s="7">
        <v>3</v>
      </c>
    </row>
    <row r="67" spans="2:17" x14ac:dyDescent="0.35">
      <c r="B67" s="21" t="s">
        <v>11</v>
      </c>
      <c r="C67" s="1" t="s">
        <v>12</v>
      </c>
      <c r="D67" s="20">
        <v>3</v>
      </c>
      <c r="E67" s="29"/>
      <c r="G67" s="7">
        <v>3</v>
      </c>
      <c r="H67" s="7"/>
      <c r="I67" s="7"/>
      <c r="J67" s="7"/>
      <c r="K67" s="7"/>
      <c r="L67" s="7"/>
      <c r="M67" s="7"/>
      <c r="N67" s="7"/>
      <c r="O67" s="7"/>
      <c r="P67" s="7">
        <v>3</v>
      </c>
    </row>
    <row r="68" spans="2:17" x14ac:dyDescent="0.35">
      <c r="B68" s="19"/>
      <c r="C68" s="22" t="s">
        <v>105</v>
      </c>
      <c r="D68" s="23">
        <f>SUM(D61:D67)</f>
        <v>18</v>
      </c>
      <c r="E68" s="30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2:17" x14ac:dyDescent="0.35">
      <c r="B69" s="24"/>
      <c r="G69" s="25" t="s">
        <v>100</v>
      </c>
    </row>
    <row r="70" spans="2:17" x14ac:dyDescent="0.35">
      <c r="C70" s="2" t="s">
        <v>101</v>
      </c>
      <c r="D70" s="27">
        <f>SUM(D9,D18,D26,D34,D43,D51,D59,D68)</f>
        <v>134</v>
      </c>
      <c r="E70" s="27"/>
      <c r="G70" s="4">
        <f>SUM(G4:G68)</f>
        <v>134</v>
      </c>
      <c r="I70" s="4">
        <f t="shared" ref="I70:P70" si="0">SUM(I4:I68)</f>
        <v>15</v>
      </c>
      <c r="J70" s="4">
        <f t="shared" si="0"/>
        <v>17</v>
      </c>
      <c r="K70" s="4">
        <f t="shared" si="0"/>
        <v>16</v>
      </c>
      <c r="L70" s="4">
        <f t="shared" si="0"/>
        <v>17</v>
      </c>
      <c r="M70" s="4">
        <f t="shared" si="0"/>
        <v>17</v>
      </c>
      <c r="N70" s="4">
        <f t="shared" si="0"/>
        <v>17</v>
      </c>
      <c r="O70" s="4">
        <f t="shared" si="0"/>
        <v>17</v>
      </c>
      <c r="P70" s="4">
        <f t="shared" si="0"/>
        <v>18</v>
      </c>
      <c r="Q70" s="4">
        <f>SUM(I70:P70)</f>
        <v>134</v>
      </c>
    </row>
    <row r="72" spans="2:17" x14ac:dyDescent="0.35">
      <c r="F72" s="1"/>
    </row>
    <row r="73" spans="2:17" x14ac:dyDescent="0.35">
      <c r="F73" s="1"/>
    </row>
  </sheetData>
  <mergeCells count="1">
    <mergeCell ref="I2:P2"/>
  </mergeCells>
  <hyperlinks>
    <hyperlink ref="B38" r:id="rId1" display="https://catalogo.uniandes.edu.co/2017/Catalogo/Cursos/IELE/2000/IELE-2002" xr:uid="{13B38A12-F898-4286-A008-ACD559D8304C}"/>
    <hyperlink ref="B45" r:id="rId2" display="https://catalogo.uniandes.edu.co/2017/Catalogo/Cursos/IELE/2000/IELE-2300" xr:uid="{8159A059-A12F-4D68-BF99-6733065353C3}"/>
    <hyperlink ref="B41" r:id="rId3" display="https://catalogo.uniandes.edu.co/2017/Catalogo/Cursos/IELE/3000/IELE-3102" xr:uid="{D45A4FB1-3E3E-4EA8-896F-525DAA868913}"/>
    <hyperlink ref="B8" r:id="rId4" display="https://catalogo.uniandes.edu.co/2017/Catalogo/Cursos/GENERALES-Y-REQUISITOS/CBU" xr:uid="{6BFA9F93-C42F-434E-8362-8B69B87B4F47}"/>
    <hyperlink ref="B49" r:id="rId5" display="https://catalogo.uniandes.edu.co/2017/Catalogo/Cursos/IELE/3000/IELE-3110" xr:uid="{0F912B49-DC4F-4234-91E7-E94153A0B799}"/>
    <hyperlink ref="B56" r:id="rId6" display="https://catalogo.uniandes.edu.co/2017/Catalogo/Cursos/IELE/3000/IELE-3006" xr:uid="{A8B8BEE3-EB37-45BD-AEEC-09198FA35BFC}"/>
    <hyperlink ref="B67" r:id="rId7" display="https://catalogo.uniandes.edu.co/2017/Catalogo/Cursos/GENERALES-Y-REQUISITOS/CBU" xr:uid="{A81B4E36-8237-49FA-A9E2-865FC43D31BD}"/>
    <hyperlink ref="B7" r:id="rId8" display="https://catalogo.uniandes.edu.co/2017/Catalogo/Cursos/GENERALES-Y-REQUISITOS/REQESPA" xr:uid="{186CB88D-9E37-442F-A461-1E0087FA51F4}"/>
    <hyperlink ref="B30" r:id="rId9" display="https://catalogo.uniandes.edu.co/2017/Catalogo/Cursos/MATE/1000/MATE-1207" xr:uid="{1993D863-232C-44F1-A6E4-A4B426B85817}"/>
    <hyperlink ref="B31" r:id="rId10" display="https://catalogo.uniandes.edu.co/2017/Catalogo/Cursos/MATE/2000/MATE-2210" xr:uid="{5137A14F-315B-442C-9C69-7E380CD47DF9}"/>
    <hyperlink ref="B66" r:id="rId11" display="https://catalogo.uniandes.edu.co/2017/Catalogo/Cursos/GENERALES-Y-REQUISITOS/CBU" xr:uid="{18332044-68CC-4E69-91C6-C30975A1346C}"/>
    <hyperlink ref="B65" r:id="rId12" display="https://catalogo.uniandes.edu.co/2017/Catalogo/Cursos/GENERALES-Y-REQUISITOS/CLE" xr:uid="{E40EBF40-C049-4658-B8DD-D87A77C05369}"/>
    <hyperlink ref="B47" r:id="rId13" display="https://catalogo.uniandes.edu.co/2017/Catalogo/Cursos/IELE/2000/IELE-2010" xr:uid="{22A41202-E1A8-4567-83EE-EF544545F1D9}"/>
    <hyperlink ref="B6" r:id="rId14" display="http://uniandes.smartcatalogiq.com/Catalogo-general-2022/Catalogo/Cursos/ISIS/1000/ISIS-1221" xr:uid="{60BC166E-940F-480B-920E-E63FF6020400}"/>
    <hyperlink ref="B37" r:id="rId15" display="https://catalogo.uniandes.edu.co/2017/Catalogo/Cursos/IELE/2000/IELE-2206" xr:uid="{0CAEED7F-E4B3-4882-8FFF-53AF7338E995}"/>
    <hyperlink ref="B32" r:id="rId16" display="https://catalogo.uniandes.edu.co/2017/Catalogo/Cursos/IIND/2000/IIND-2106" xr:uid="{38A16AAF-F4CD-4754-BD64-25515E52BA1D}"/>
    <hyperlink ref="B39" r:id="rId17" display="https://catalogo.uniandes.edu.co/2017/Catalogo/Cursos/IELE/2000/IELE-2402" xr:uid="{264C37AE-35A9-4B30-97C7-8E6591FD9529}"/>
    <hyperlink ref="B46" r:id="rId18" display="https://catalogo.uniandes.edu.co/2017/Catalogo/Cursos/IELE/2000/IELE-2009" xr:uid="{093C5533-0DE1-484A-A769-C3D5915FD234}"/>
    <hyperlink ref="B22" r:id="rId19" display="https://catalogo.uniandes.edu.co/2017/Catalogo/Cursos/MATE/1000/MATE-1214" xr:uid="{DE98695C-F68E-460E-83C6-C3FF752C6812}"/>
    <hyperlink ref="B23" r:id="rId20" display="https://catalogo.uniandes.edu.co/2017/Catalogo/Cursos/MATE/1000/MATE-1105" xr:uid="{78BECB29-7DAC-4373-A6A7-33AA4BFC011E}"/>
    <hyperlink ref="B12" r:id="rId21" display="https://catalogo.uniandes.edu.co/2017/Catalogo/Cursos/MATE/1000/MATE-1203" xr:uid="{D7446CF8-2E8A-4C64-8E89-6DE56AF90BC4}"/>
    <hyperlink ref="B13" r:id="rId22" display="https://catalogo.uniandes.edu.co/2017/Catalogo/Cursos/IELE/Generales/XXXX-Electiva-en-Fundamentos-de-Ingenier-237-a-3" xr:uid="{2476DC1A-63B2-4421-A98F-5C2F5CE3B2F5}"/>
    <hyperlink ref="B25" r:id="rId23" display="https://catalogo.uniandes.edu.co/2017/Catalogo/Cursos/DERE/1000/DERE-1300" xr:uid="{90EB2289-947E-4666-84AB-EC2AD5764166}"/>
    <hyperlink ref="B17" r:id="rId24" display="https://catalogo.uniandes.edu.co/2017/Catalogo/Cursos/GENERALES-Y-REQUISITOS/CBU" xr:uid="{35C5C054-A21A-44C5-A8CE-A091E7B6CBE9}"/>
    <hyperlink ref="B29" r:id="rId25" display="https://catalogo.uniandes.edu.co/2017/Catalogo/Cursos/IELE/2000/IELE-2500" xr:uid="{3E7B2A3C-18F1-4274-8E78-291FB345E3ED}"/>
    <hyperlink ref="B16" r:id="rId26" display="https://catalogo.uniandes.edu.co/2017/Catalogo/Cursos/GENERALES-Y-REQUISITOS/CBU" xr:uid="{2AAC4714-93CB-4D28-AA3C-B34EBB32A4BF}"/>
    <hyperlink ref="B48" r:id="rId27" display="https://catalogo.uniandes.edu.co/2017/Catalogo/Cursos/IIND/2000/IIND-2401" xr:uid="{E2DB8E7D-9337-4592-9CE7-B6A1BF02B78D}"/>
    <hyperlink ref="B14" r:id="rId28" display="https://catalogo.uniandes.edu.co/2017/Catalogo/Cursos/GENERALES-Y-REQUISITOS/CBU" xr:uid="{EBE8F580-AF71-43EB-9136-EDEF9DBC8704}"/>
  </hyperlinks>
  <pageMargins left="0.7" right="0.7" top="0.75" bottom="0.75" header="0.3" footer="0.3"/>
  <pageSetup orientation="portrait"/>
  <legacy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5FF5-E3D2-4B55-9864-4E094D9A439C}">
  <dimension ref="A1:S83"/>
  <sheetViews>
    <sheetView topLeftCell="A40" workbookViewId="0">
      <selection activeCell="C5" sqref="C5"/>
    </sheetView>
  </sheetViews>
  <sheetFormatPr baseColWidth="10" defaultColWidth="11.453125" defaultRowHeight="14.5" x14ac:dyDescent="0.35"/>
  <cols>
    <col min="1" max="1" width="1.81640625" style="1" customWidth="1"/>
    <col min="2" max="2" width="14.81640625" style="26" customWidth="1"/>
    <col min="3" max="3" width="48.7265625" style="1" customWidth="1"/>
    <col min="4" max="4" width="10.1796875" style="1" customWidth="1"/>
    <col min="5" max="5" width="1.26953125" style="1" customWidth="1"/>
    <col min="6" max="6" width="2.1796875" style="4" customWidth="1"/>
    <col min="7" max="7" width="12" style="4" bestFit="1" customWidth="1"/>
    <col min="8" max="8" width="2.54296875" style="4" customWidth="1"/>
    <col min="9" max="9" width="6.453125" style="4" bestFit="1" customWidth="1"/>
    <col min="10" max="12" width="6" style="4" bestFit="1" customWidth="1"/>
    <col min="13" max="13" width="6.453125" style="4" bestFit="1" customWidth="1"/>
    <col min="14" max="16" width="6" style="4" bestFit="1" customWidth="1"/>
    <col min="17" max="17" width="7.54296875" style="1" customWidth="1"/>
    <col min="18" max="19" width="11.453125" style="1"/>
  </cols>
  <sheetData>
    <row r="1" spans="2:16" x14ac:dyDescent="0.35">
      <c r="B1" s="3" t="s">
        <v>127</v>
      </c>
    </row>
    <row r="2" spans="2:16" x14ac:dyDescent="0.35">
      <c r="B2" s="3" t="s">
        <v>0</v>
      </c>
      <c r="I2" s="78" t="s">
        <v>56</v>
      </c>
      <c r="J2" s="79"/>
      <c r="K2" s="79"/>
      <c r="L2" s="79"/>
      <c r="M2" s="80"/>
      <c r="N2" s="80"/>
      <c r="O2" s="80"/>
      <c r="P2" s="81"/>
    </row>
    <row r="3" spans="2:16" x14ac:dyDescent="0.35">
      <c r="B3" s="5" t="s">
        <v>103</v>
      </c>
      <c r="G3" s="6" t="s">
        <v>57</v>
      </c>
      <c r="H3" s="7"/>
      <c r="I3" s="7" t="s">
        <v>58</v>
      </c>
      <c r="J3" s="7" t="s">
        <v>59</v>
      </c>
      <c r="K3" s="7" t="s">
        <v>60</v>
      </c>
      <c r="L3" s="7" t="s">
        <v>61</v>
      </c>
      <c r="M3" s="7" t="s">
        <v>62</v>
      </c>
      <c r="N3" s="7" t="s">
        <v>63</v>
      </c>
      <c r="O3" s="7" t="s">
        <v>64</v>
      </c>
      <c r="P3" s="7" t="s">
        <v>65</v>
      </c>
    </row>
    <row r="4" spans="2:16" x14ac:dyDescent="0.35">
      <c r="B4" s="8" t="s">
        <v>67</v>
      </c>
      <c r="C4" s="9" t="s">
        <v>3</v>
      </c>
      <c r="D4" s="10">
        <v>3</v>
      </c>
      <c r="E4" s="29"/>
      <c r="G4" s="6">
        <v>3</v>
      </c>
      <c r="H4" s="7"/>
      <c r="I4" s="7">
        <v>3</v>
      </c>
      <c r="J4" s="7"/>
      <c r="K4" s="7"/>
      <c r="L4" s="7"/>
      <c r="M4" s="7"/>
      <c r="N4" s="7"/>
      <c r="O4" s="7"/>
      <c r="P4" s="7"/>
    </row>
    <row r="5" spans="2:16" x14ac:dyDescent="0.35">
      <c r="B5" s="15" t="s">
        <v>70</v>
      </c>
      <c r="C5" s="1" t="s">
        <v>6</v>
      </c>
      <c r="D5" s="12">
        <v>3</v>
      </c>
      <c r="E5" s="29"/>
      <c r="G5" s="6">
        <v>3</v>
      </c>
      <c r="H5" s="7"/>
      <c r="I5" s="7">
        <v>3</v>
      </c>
      <c r="J5" s="7"/>
      <c r="K5" s="7"/>
      <c r="L5" s="7"/>
      <c r="M5" s="7"/>
      <c r="N5" s="7"/>
      <c r="O5" s="7"/>
      <c r="P5" s="7"/>
    </row>
    <row r="6" spans="2:16" x14ac:dyDescent="0.35">
      <c r="B6" s="11" t="s">
        <v>68</v>
      </c>
      <c r="C6" s="1" t="s">
        <v>4</v>
      </c>
      <c r="D6" s="12">
        <v>3</v>
      </c>
      <c r="E6" s="29"/>
      <c r="G6" s="6">
        <v>3</v>
      </c>
      <c r="H6" s="7"/>
      <c r="I6" s="7">
        <v>3</v>
      </c>
      <c r="J6" s="7"/>
      <c r="K6" s="7"/>
      <c r="L6" s="7"/>
      <c r="M6" s="7"/>
      <c r="N6" s="7"/>
      <c r="O6" s="7"/>
      <c r="P6" s="7"/>
    </row>
    <row r="7" spans="2:16" x14ac:dyDescent="0.35">
      <c r="B7" s="55" t="s">
        <v>122</v>
      </c>
      <c r="C7" s="56" t="s">
        <v>123</v>
      </c>
      <c r="D7" s="57">
        <v>3</v>
      </c>
      <c r="E7" s="29"/>
      <c r="G7" s="6">
        <v>3</v>
      </c>
      <c r="H7" s="7"/>
      <c r="I7" s="7">
        <v>3</v>
      </c>
      <c r="J7" s="7"/>
      <c r="K7" s="7"/>
      <c r="L7" s="7"/>
      <c r="M7" s="7"/>
      <c r="N7" s="7"/>
      <c r="O7" s="7"/>
      <c r="P7" s="7"/>
    </row>
    <row r="8" spans="2:16" x14ac:dyDescent="0.35">
      <c r="B8" s="15" t="s">
        <v>11</v>
      </c>
      <c r="C8" s="1" t="s">
        <v>12</v>
      </c>
      <c r="D8" s="12">
        <v>3</v>
      </c>
      <c r="E8" s="29"/>
      <c r="G8" s="6">
        <v>3</v>
      </c>
      <c r="H8" s="7"/>
      <c r="I8" s="7">
        <v>3</v>
      </c>
      <c r="J8" s="7"/>
      <c r="K8" s="7"/>
      <c r="L8" s="7"/>
      <c r="M8" s="7"/>
      <c r="N8" s="7"/>
      <c r="O8" s="7"/>
      <c r="P8" s="7"/>
    </row>
    <row r="9" spans="2:16" x14ac:dyDescent="0.35">
      <c r="B9" s="16"/>
      <c r="C9" s="17" t="s">
        <v>105</v>
      </c>
      <c r="D9" s="18">
        <f>SUM(D4:D8)</f>
        <v>15</v>
      </c>
      <c r="E9" s="30"/>
      <c r="G9" s="6"/>
      <c r="H9" s="7"/>
      <c r="I9" s="7"/>
      <c r="J9" s="7"/>
      <c r="K9" s="7"/>
      <c r="L9" s="7"/>
      <c r="M9" s="7"/>
      <c r="N9" s="7"/>
      <c r="O9" s="7"/>
      <c r="P9" s="7"/>
    </row>
    <row r="10" spans="2:16" x14ac:dyDescent="0.35">
      <c r="B10" s="5" t="s">
        <v>106</v>
      </c>
      <c r="G10" s="6"/>
      <c r="H10" s="7"/>
      <c r="I10" s="7"/>
      <c r="J10" s="7"/>
      <c r="K10" s="7"/>
      <c r="L10" s="7"/>
      <c r="M10" s="7"/>
      <c r="N10" s="7"/>
      <c r="O10" s="7"/>
      <c r="P10" s="7"/>
    </row>
    <row r="11" spans="2:16" x14ac:dyDescent="0.35">
      <c r="B11" s="8" t="s">
        <v>71</v>
      </c>
      <c r="C11" s="32" t="s">
        <v>7</v>
      </c>
      <c r="D11" s="10">
        <v>1</v>
      </c>
      <c r="E11" s="29"/>
      <c r="G11" s="6">
        <v>1</v>
      </c>
      <c r="H11" s="7"/>
      <c r="I11" s="7"/>
      <c r="J11" s="7">
        <v>1</v>
      </c>
      <c r="K11" s="7"/>
      <c r="L11" s="7"/>
      <c r="M11" s="7"/>
      <c r="N11" s="7"/>
      <c r="O11" s="7"/>
      <c r="P11" s="7"/>
    </row>
    <row r="12" spans="2:16" x14ac:dyDescent="0.35">
      <c r="B12" s="33" t="s">
        <v>72</v>
      </c>
      <c r="C12" s="31" t="s">
        <v>8</v>
      </c>
      <c r="D12" s="12">
        <v>3</v>
      </c>
      <c r="E12" s="29"/>
      <c r="G12" s="6">
        <v>3</v>
      </c>
      <c r="H12" s="7"/>
      <c r="I12" s="7"/>
      <c r="J12" s="7">
        <v>3</v>
      </c>
      <c r="K12" s="7"/>
      <c r="L12" s="7"/>
      <c r="M12" s="7"/>
      <c r="N12" s="7"/>
      <c r="O12" s="7"/>
      <c r="P12" s="7"/>
    </row>
    <row r="13" spans="2:16" x14ac:dyDescent="0.35">
      <c r="B13" s="13" t="s">
        <v>69</v>
      </c>
      <c r="C13" s="1" t="s">
        <v>5</v>
      </c>
      <c r="D13" s="14">
        <v>2</v>
      </c>
      <c r="E13" s="29"/>
      <c r="G13" s="6">
        <v>2</v>
      </c>
      <c r="H13" s="7"/>
      <c r="I13" s="7"/>
      <c r="J13" s="7">
        <v>2</v>
      </c>
      <c r="K13" s="7"/>
      <c r="L13" s="7"/>
      <c r="M13" s="7"/>
      <c r="N13" s="7"/>
      <c r="O13" s="7"/>
      <c r="P13" s="7"/>
    </row>
    <row r="14" spans="2:16" x14ac:dyDescent="0.35">
      <c r="B14" s="15" t="s">
        <v>73</v>
      </c>
      <c r="C14" s="31" t="s">
        <v>9</v>
      </c>
      <c r="D14" s="12">
        <v>3</v>
      </c>
      <c r="E14" s="29"/>
      <c r="G14" s="6">
        <v>3</v>
      </c>
      <c r="H14" s="7"/>
      <c r="I14" s="7"/>
      <c r="J14" s="7">
        <v>3</v>
      </c>
      <c r="K14" s="7"/>
      <c r="L14" s="7"/>
      <c r="M14" s="7"/>
      <c r="N14" s="7"/>
      <c r="O14" s="7"/>
      <c r="P14" s="7"/>
    </row>
    <row r="15" spans="2:16" x14ac:dyDescent="0.35">
      <c r="B15" s="15" t="s">
        <v>74</v>
      </c>
      <c r="C15" s="31" t="s">
        <v>10</v>
      </c>
      <c r="D15" s="12">
        <v>3</v>
      </c>
      <c r="E15" s="29"/>
      <c r="G15" s="6">
        <v>3</v>
      </c>
      <c r="H15" s="7"/>
      <c r="I15" s="7"/>
      <c r="J15" s="7">
        <v>3</v>
      </c>
      <c r="K15" s="7"/>
      <c r="L15" s="7"/>
      <c r="M15" s="7"/>
      <c r="N15" s="7"/>
      <c r="O15" s="7"/>
      <c r="P15" s="7"/>
    </row>
    <row r="16" spans="2:16" x14ac:dyDescent="0.35">
      <c r="B16" s="33" t="s">
        <v>75</v>
      </c>
      <c r="C16" s="1" t="s">
        <v>51</v>
      </c>
      <c r="D16" s="12">
        <v>3</v>
      </c>
      <c r="E16" s="29"/>
      <c r="G16" s="6">
        <v>3</v>
      </c>
      <c r="H16" s="7"/>
      <c r="I16" s="7"/>
      <c r="J16" s="7">
        <v>3</v>
      </c>
      <c r="K16" s="7"/>
      <c r="L16" s="7"/>
      <c r="M16" s="7"/>
      <c r="N16" s="7"/>
      <c r="O16" s="7"/>
      <c r="P16" s="7"/>
    </row>
    <row r="17" spans="2:16" x14ac:dyDescent="0.35">
      <c r="B17" s="15" t="s">
        <v>11</v>
      </c>
      <c r="C17" s="1" t="s">
        <v>12</v>
      </c>
      <c r="D17" s="12">
        <v>3</v>
      </c>
      <c r="E17" s="29"/>
      <c r="G17" s="6">
        <v>3</v>
      </c>
      <c r="H17" s="7"/>
      <c r="I17" s="7"/>
      <c r="J17" s="7">
        <v>3</v>
      </c>
      <c r="K17" s="7"/>
      <c r="L17" s="7"/>
      <c r="M17" s="7"/>
      <c r="N17" s="7"/>
      <c r="O17" s="7"/>
      <c r="P17" s="7"/>
    </row>
    <row r="18" spans="2:16" x14ac:dyDescent="0.35">
      <c r="B18" s="16"/>
      <c r="C18" s="17" t="s">
        <v>105</v>
      </c>
      <c r="D18" s="18">
        <f>SUM(D11:D17)</f>
        <v>18</v>
      </c>
      <c r="E18" s="30"/>
      <c r="G18" s="6"/>
      <c r="H18" s="7"/>
      <c r="I18" s="7"/>
      <c r="J18" s="7"/>
      <c r="K18" s="7"/>
      <c r="L18" s="7"/>
      <c r="M18" s="7"/>
      <c r="N18" s="7"/>
      <c r="O18" s="7"/>
      <c r="P18" s="7"/>
    </row>
    <row r="19" spans="2:16" x14ac:dyDescent="0.35">
      <c r="B19" s="5" t="s">
        <v>107</v>
      </c>
      <c r="G19" s="6"/>
      <c r="H19" s="7"/>
      <c r="I19" s="7"/>
      <c r="J19" s="7"/>
      <c r="K19" s="7"/>
      <c r="L19" s="7"/>
      <c r="M19" s="7"/>
      <c r="N19" s="7"/>
      <c r="O19" s="7"/>
      <c r="P19" s="7"/>
    </row>
    <row r="20" spans="2:16" s="1" customFormat="1" x14ac:dyDescent="0.35">
      <c r="B20" s="34" t="s">
        <v>76</v>
      </c>
      <c r="C20" s="32" t="s">
        <v>13</v>
      </c>
      <c r="D20" s="10">
        <v>1</v>
      </c>
      <c r="E20" s="29"/>
      <c r="F20" s="4"/>
      <c r="G20" s="6">
        <v>1</v>
      </c>
      <c r="H20" s="7"/>
      <c r="I20" s="7"/>
      <c r="J20" s="7"/>
      <c r="K20" s="7">
        <v>1</v>
      </c>
      <c r="L20" s="7"/>
      <c r="M20" s="7"/>
      <c r="N20" s="7"/>
      <c r="O20" s="7"/>
      <c r="P20" s="7"/>
    </row>
    <row r="21" spans="2:16" s="1" customFormat="1" x14ac:dyDescent="0.35">
      <c r="B21" s="15" t="s">
        <v>81</v>
      </c>
      <c r="C21" s="31" t="s">
        <v>21</v>
      </c>
      <c r="D21" s="12">
        <v>3</v>
      </c>
      <c r="E21" s="29"/>
      <c r="F21" s="4"/>
      <c r="G21" s="7">
        <v>3</v>
      </c>
      <c r="H21" s="7"/>
      <c r="I21" s="7"/>
      <c r="J21" s="7"/>
      <c r="K21" s="7">
        <v>3</v>
      </c>
      <c r="L21" s="7"/>
      <c r="M21" s="7"/>
      <c r="N21" s="7"/>
      <c r="O21" s="7"/>
      <c r="P21" s="7"/>
    </row>
    <row r="22" spans="2:16" s="1" customFormat="1" x14ac:dyDescent="0.35">
      <c r="B22" s="15" t="s">
        <v>77</v>
      </c>
      <c r="C22" s="31" t="s">
        <v>14</v>
      </c>
      <c r="D22" s="12">
        <v>3</v>
      </c>
      <c r="E22" s="29"/>
      <c r="F22" s="4"/>
      <c r="G22" s="7">
        <v>3</v>
      </c>
      <c r="H22" s="7"/>
      <c r="I22" s="7"/>
      <c r="J22" s="7"/>
      <c r="K22" s="7">
        <v>3</v>
      </c>
      <c r="L22" s="7"/>
      <c r="M22" s="7"/>
      <c r="N22" s="7"/>
      <c r="O22" s="7"/>
      <c r="P22" s="7"/>
    </row>
    <row r="23" spans="2:16" s="1" customFormat="1" x14ac:dyDescent="0.35">
      <c r="B23" s="15" t="s">
        <v>24</v>
      </c>
      <c r="C23" s="31" t="s">
        <v>15</v>
      </c>
      <c r="D23" s="12">
        <v>3</v>
      </c>
      <c r="E23" s="29"/>
      <c r="F23" s="4"/>
      <c r="G23" s="7">
        <v>3</v>
      </c>
      <c r="H23" s="7"/>
      <c r="I23" s="7"/>
      <c r="J23" s="7"/>
      <c r="K23" s="7">
        <v>3</v>
      </c>
      <c r="L23" s="7"/>
      <c r="M23" s="7"/>
      <c r="N23" s="7"/>
      <c r="O23" s="7"/>
      <c r="P23" s="7"/>
    </row>
    <row r="24" spans="2:16" s="1" customFormat="1" x14ac:dyDescent="0.35">
      <c r="B24" s="15" t="s">
        <v>78</v>
      </c>
      <c r="C24" s="31" t="s">
        <v>109</v>
      </c>
      <c r="D24" s="12">
        <v>2</v>
      </c>
      <c r="E24" s="29"/>
      <c r="F24" s="4"/>
      <c r="G24" s="7">
        <v>2</v>
      </c>
      <c r="H24" s="7"/>
      <c r="I24" s="7"/>
      <c r="J24" s="7"/>
      <c r="K24" s="7">
        <v>2</v>
      </c>
      <c r="L24" s="7"/>
      <c r="M24" s="7"/>
      <c r="N24" s="7"/>
      <c r="O24" s="7"/>
      <c r="P24" s="7"/>
    </row>
    <row r="25" spans="2:16" s="1" customFormat="1" x14ac:dyDescent="0.35">
      <c r="B25" s="35" t="s">
        <v>79</v>
      </c>
      <c r="C25" s="36" t="s">
        <v>52</v>
      </c>
      <c r="D25" s="12">
        <v>3</v>
      </c>
      <c r="E25" s="29"/>
      <c r="F25" s="4"/>
      <c r="G25" s="6">
        <v>3</v>
      </c>
      <c r="H25" s="7"/>
      <c r="I25" s="7"/>
      <c r="J25" s="7"/>
      <c r="K25" s="7">
        <v>3</v>
      </c>
      <c r="L25" s="7"/>
      <c r="M25" s="7"/>
      <c r="N25" s="7"/>
      <c r="O25" s="7"/>
      <c r="P25" s="7"/>
    </row>
    <row r="26" spans="2:16" s="1" customFormat="1" x14ac:dyDescent="0.35">
      <c r="B26" s="15" t="s">
        <v>11</v>
      </c>
      <c r="C26" s="1" t="s">
        <v>12</v>
      </c>
      <c r="D26" s="12">
        <v>3</v>
      </c>
      <c r="E26" s="29"/>
      <c r="F26" s="4"/>
      <c r="G26" s="7">
        <v>3</v>
      </c>
      <c r="H26" s="7"/>
      <c r="I26" s="7"/>
      <c r="J26" s="7"/>
      <c r="K26" s="7">
        <v>3</v>
      </c>
      <c r="L26" s="7"/>
      <c r="M26" s="7"/>
      <c r="N26" s="7"/>
      <c r="O26" s="7"/>
      <c r="P26" s="7"/>
    </row>
    <row r="27" spans="2:16" s="1" customFormat="1" x14ac:dyDescent="0.35">
      <c r="B27" s="16"/>
      <c r="C27" s="17" t="s">
        <v>105</v>
      </c>
      <c r="D27" s="18">
        <f>SUM(D20:D26)</f>
        <v>18</v>
      </c>
      <c r="E27" s="30"/>
      <c r="F27" s="4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2:16" s="1" customFormat="1" x14ac:dyDescent="0.35">
      <c r="B28" s="5" t="s">
        <v>110</v>
      </c>
      <c r="F28" s="4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2:16" s="1" customFormat="1" x14ac:dyDescent="0.35">
      <c r="B29" s="8" t="s">
        <v>82</v>
      </c>
      <c r="C29" s="9" t="s">
        <v>18</v>
      </c>
      <c r="D29" s="10">
        <v>2</v>
      </c>
      <c r="E29" s="29"/>
      <c r="F29" s="4"/>
      <c r="G29" s="6">
        <v>2</v>
      </c>
      <c r="H29" s="7"/>
      <c r="I29" s="7"/>
      <c r="J29" s="7"/>
      <c r="K29" s="7"/>
      <c r="L29" s="7">
        <v>2</v>
      </c>
      <c r="M29" s="7"/>
      <c r="N29" s="7"/>
      <c r="O29" s="7"/>
      <c r="P29" s="7"/>
    </row>
    <row r="30" spans="2:16" s="1" customFormat="1" x14ac:dyDescent="0.35">
      <c r="B30" s="35" t="s">
        <v>34</v>
      </c>
      <c r="C30" s="31" t="s">
        <v>108</v>
      </c>
      <c r="D30" s="12">
        <v>3</v>
      </c>
      <c r="E30" s="29"/>
      <c r="F30" s="4"/>
      <c r="G30" s="7">
        <v>3</v>
      </c>
      <c r="H30" s="7"/>
      <c r="I30" s="7"/>
      <c r="J30" s="7"/>
      <c r="K30" s="7"/>
      <c r="L30" s="7">
        <v>3</v>
      </c>
      <c r="M30" s="7"/>
      <c r="N30" s="7"/>
      <c r="O30" s="7"/>
      <c r="P30" s="7"/>
    </row>
    <row r="31" spans="2:16" s="1" customFormat="1" x14ac:dyDescent="0.35">
      <c r="B31" s="15" t="s">
        <v>84</v>
      </c>
      <c r="C31" s="31" t="s">
        <v>20</v>
      </c>
      <c r="D31" s="12">
        <v>3</v>
      </c>
      <c r="E31" s="29"/>
      <c r="F31" s="4"/>
      <c r="G31" s="7">
        <v>3</v>
      </c>
      <c r="H31" s="7"/>
      <c r="I31" s="7"/>
      <c r="J31" s="7"/>
      <c r="K31" s="7"/>
      <c r="L31" s="7">
        <v>3</v>
      </c>
      <c r="M31" s="7"/>
      <c r="N31" s="7"/>
      <c r="O31" s="7"/>
      <c r="P31" s="7"/>
    </row>
    <row r="32" spans="2:16" s="1" customFormat="1" x14ac:dyDescent="0.35">
      <c r="B32" s="15" t="s">
        <v>83</v>
      </c>
      <c r="C32" s="31" t="s">
        <v>19</v>
      </c>
      <c r="D32" s="12">
        <v>3</v>
      </c>
      <c r="E32" s="29"/>
      <c r="F32" s="4"/>
      <c r="G32" s="7">
        <v>3</v>
      </c>
      <c r="H32" s="7"/>
      <c r="I32" s="7"/>
      <c r="J32" s="7"/>
      <c r="K32" s="7"/>
      <c r="L32" s="7">
        <v>3</v>
      </c>
      <c r="M32" s="7"/>
      <c r="N32" s="7"/>
      <c r="O32" s="7"/>
      <c r="P32" s="7"/>
    </row>
    <row r="33" spans="2:16" s="1" customFormat="1" x14ac:dyDescent="0.35">
      <c r="B33" s="15" t="s">
        <v>129</v>
      </c>
      <c r="C33" s="31" t="s">
        <v>86</v>
      </c>
      <c r="D33" s="12">
        <v>3</v>
      </c>
      <c r="E33" s="29"/>
      <c r="F33" s="4"/>
      <c r="G33" s="7">
        <v>3</v>
      </c>
      <c r="H33" s="7"/>
      <c r="I33" s="7"/>
      <c r="J33" s="7"/>
      <c r="K33" s="7"/>
      <c r="L33" s="7">
        <v>3</v>
      </c>
      <c r="M33" s="7"/>
      <c r="N33" s="7"/>
      <c r="O33" s="7"/>
      <c r="P33" s="7"/>
    </row>
    <row r="34" spans="2:16" s="1" customFormat="1" x14ac:dyDescent="0.35">
      <c r="B34" s="33" t="s">
        <v>42</v>
      </c>
      <c r="C34" s="31" t="s">
        <v>22</v>
      </c>
      <c r="D34" s="12">
        <v>2</v>
      </c>
      <c r="E34" s="29"/>
      <c r="F34" s="4"/>
      <c r="G34" s="7">
        <v>2</v>
      </c>
      <c r="H34" s="7"/>
      <c r="I34" s="7"/>
      <c r="J34" s="7"/>
      <c r="K34" s="7"/>
      <c r="L34" s="7">
        <v>2</v>
      </c>
      <c r="M34" s="7"/>
      <c r="N34" s="7"/>
      <c r="O34" s="7"/>
      <c r="P34" s="7"/>
    </row>
    <row r="35" spans="2:16" s="1" customFormat="1" x14ac:dyDescent="0.35">
      <c r="B35" s="16"/>
      <c r="C35" s="17" t="s">
        <v>105</v>
      </c>
      <c r="D35" s="18">
        <f>SUM(D29:D34)</f>
        <v>16</v>
      </c>
      <c r="E35" s="30"/>
      <c r="F35" s="4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2:16" s="1" customFormat="1" x14ac:dyDescent="0.35">
      <c r="B36" s="5" t="s">
        <v>114</v>
      </c>
      <c r="F36" s="4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2:16" s="1" customFormat="1" x14ac:dyDescent="0.35">
      <c r="B37" s="37" t="s">
        <v>87</v>
      </c>
      <c r="C37" s="32" t="s">
        <v>53</v>
      </c>
      <c r="D37" s="10">
        <v>3</v>
      </c>
      <c r="E37" s="29"/>
      <c r="F37" s="4"/>
      <c r="G37" s="7">
        <v>3</v>
      </c>
      <c r="H37" s="7"/>
      <c r="I37" s="7"/>
      <c r="J37" s="7"/>
      <c r="K37" s="7"/>
      <c r="L37" s="7"/>
      <c r="M37" s="7">
        <v>3</v>
      </c>
      <c r="N37" s="7"/>
      <c r="O37" s="7"/>
      <c r="P37" s="7"/>
    </row>
    <row r="38" spans="2:16" s="1" customFormat="1" x14ac:dyDescent="0.35">
      <c r="B38" s="15" t="s">
        <v>89</v>
      </c>
      <c r="C38" s="31" t="s">
        <v>27</v>
      </c>
      <c r="D38" s="12">
        <v>3</v>
      </c>
      <c r="E38" s="29"/>
      <c r="F38" s="4"/>
      <c r="G38" s="7">
        <v>3</v>
      </c>
      <c r="H38" s="7"/>
      <c r="I38" s="7"/>
      <c r="J38" s="7"/>
      <c r="K38" s="7"/>
      <c r="L38" s="7"/>
      <c r="M38" s="7">
        <v>3</v>
      </c>
      <c r="N38" s="7"/>
      <c r="O38" s="7"/>
      <c r="P38" s="7"/>
    </row>
    <row r="39" spans="2:16" s="1" customFormat="1" x14ac:dyDescent="0.35">
      <c r="B39" s="15" t="s">
        <v>31</v>
      </c>
      <c r="C39" s="31" t="s">
        <v>25</v>
      </c>
      <c r="D39" s="12">
        <v>3</v>
      </c>
      <c r="E39" s="29"/>
      <c r="F39" s="4"/>
      <c r="G39" s="7">
        <v>3</v>
      </c>
      <c r="H39" s="7"/>
      <c r="I39" s="7"/>
      <c r="J39" s="7"/>
      <c r="K39" s="7"/>
      <c r="L39" s="7"/>
      <c r="M39" s="7">
        <v>3</v>
      </c>
      <c r="N39" s="7"/>
      <c r="O39" s="7"/>
      <c r="P39" s="7"/>
    </row>
    <row r="40" spans="2:16" s="1" customFormat="1" x14ac:dyDescent="0.35">
      <c r="B40" s="15" t="s">
        <v>88</v>
      </c>
      <c r="C40" s="31" t="s">
        <v>26</v>
      </c>
      <c r="D40" s="12">
        <v>3</v>
      </c>
      <c r="E40" s="29"/>
      <c r="F40" s="4"/>
      <c r="G40" s="7">
        <v>3</v>
      </c>
      <c r="H40" s="7"/>
      <c r="I40" s="7"/>
      <c r="J40" s="7"/>
      <c r="K40" s="7"/>
      <c r="L40" s="7"/>
      <c r="M40" s="7">
        <v>3</v>
      </c>
      <c r="N40" s="7"/>
      <c r="O40" s="7"/>
      <c r="P40" s="7"/>
    </row>
    <row r="41" spans="2:16" s="1" customFormat="1" x14ac:dyDescent="0.35">
      <c r="B41" s="15" t="s">
        <v>90</v>
      </c>
      <c r="C41" s="31" t="s">
        <v>40</v>
      </c>
      <c r="D41" s="12">
        <v>3</v>
      </c>
      <c r="E41" s="29"/>
      <c r="F41" s="4"/>
      <c r="G41" s="7">
        <v>3</v>
      </c>
      <c r="H41" s="7"/>
      <c r="I41" s="7"/>
      <c r="J41" s="7"/>
      <c r="K41" s="7"/>
      <c r="L41" s="7"/>
      <c r="M41" s="7">
        <v>3</v>
      </c>
      <c r="N41" s="7"/>
      <c r="O41" s="7"/>
      <c r="P41" s="7"/>
    </row>
    <row r="42" spans="2:16" s="1" customFormat="1" x14ac:dyDescent="0.35">
      <c r="B42" s="15" t="s">
        <v>80</v>
      </c>
      <c r="C42" s="31" t="s">
        <v>17</v>
      </c>
      <c r="D42" s="12">
        <v>3</v>
      </c>
      <c r="E42" s="29"/>
      <c r="F42" s="4"/>
      <c r="G42" s="7">
        <v>3</v>
      </c>
      <c r="H42" s="7"/>
      <c r="I42" s="7"/>
      <c r="J42" s="7"/>
      <c r="K42" s="7"/>
      <c r="L42" s="7"/>
      <c r="M42" s="7">
        <v>3</v>
      </c>
      <c r="N42" s="7"/>
      <c r="O42" s="7"/>
      <c r="P42" s="7"/>
    </row>
    <row r="43" spans="2:16" s="1" customFormat="1" x14ac:dyDescent="0.35">
      <c r="B43" s="16"/>
      <c r="C43" s="17" t="s">
        <v>105</v>
      </c>
      <c r="D43" s="18">
        <f>SUM(D37:D42)</f>
        <v>18</v>
      </c>
      <c r="E43" s="30"/>
      <c r="F43" s="4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2:16" s="1" customFormat="1" x14ac:dyDescent="0.35">
      <c r="B44" s="5" t="s">
        <v>116</v>
      </c>
      <c r="F44" s="4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2:16" s="1" customFormat="1" x14ac:dyDescent="0.35">
      <c r="B45" s="8" t="s">
        <v>130</v>
      </c>
      <c r="C45" s="9" t="s">
        <v>128</v>
      </c>
      <c r="D45" s="10">
        <v>3</v>
      </c>
      <c r="E45" s="29"/>
      <c r="F45" s="4"/>
      <c r="G45" s="6">
        <v>3</v>
      </c>
      <c r="H45" s="7"/>
      <c r="I45" s="7"/>
      <c r="J45" s="7"/>
      <c r="K45" s="7"/>
      <c r="L45" s="7"/>
      <c r="M45" s="7"/>
      <c r="N45" s="7">
        <v>3</v>
      </c>
      <c r="O45" s="7"/>
      <c r="P45" s="7"/>
    </row>
    <row r="46" spans="2:16" s="1" customFormat="1" x14ac:dyDescent="0.35">
      <c r="B46" s="33" t="s">
        <v>92</v>
      </c>
      <c r="C46" s="1" t="s">
        <v>30</v>
      </c>
      <c r="D46" s="12">
        <v>3</v>
      </c>
      <c r="E46" s="29"/>
      <c r="F46" s="4"/>
      <c r="G46" s="6">
        <v>3</v>
      </c>
      <c r="H46" s="7"/>
      <c r="I46" s="7"/>
      <c r="J46" s="7"/>
      <c r="K46" s="7"/>
      <c r="L46" s="7"/>
      <c r="M46" s="7"/>
      <c r="N46" s="7">
        <v>3</v>
      </c>
      <c r="O46" s="7"/>
      <c r="P46" s="7"/>
    </row>
    <row r="47" spans="2:16" s="1" customFormat="1" x14ac:dyDescent="0.35">
      <c r="B47" s="15" t="s">
        <v>93</v>
      </c>
      <c r="C47" s="31" t="s">
        <v>32</v>
      </c>
      <c r="D47" s="12">
        <v>3</v>
      </c>
      <c r="E47" s="29"/>
      <c r="F47" s="4"/>
      <c r="G47" s="7">
        <v>3</v>
      </c>
      <c r="H47" s="7"/>
      <c r="I47" s="7"/>
      <c r="J47" s="7"/>
      <c r="K47" s="7"/>
      <c r="L47" s="7"/>
      <c r="M47" s="7"/>
      <c r="N47" s="7">
        <v>3</v>
      </c>
      <c r="O47" s="7"/>
      <c r="P47" s="7"/>
    </row>
    <row r="48" spans="2:16" s="1" customFormat="1" x14ac:dyDescent="0.35">
      <c r="B48" s="33" t="s">
        <v>117</v>
      </c>
      <c r="C48" s="31" t="s">
        <v>35</v>
      </c>
      <c r="D48" s="12">
        <v>3</v>
      </c>
      <c r="E48" s="29"/>
      <c r="F48" s="4"/>
      <c r="G48" s="7">
        <v>3</v>
      </c>
      <c r="H48" s="7"/>
      <c r="I48" s="7"/>
      <c r="J48" s="7"/>
      <c r="K48" s="7"/>
      <c r="L48" s="7"/>
      <c r="M48" s="7"/>
      <c r="N48" s="7">
        <v>3</v>
      </c>
      <c r="O48" s="7"/>
      <c r="P48" s="7"/>
    </row>
    <row r="49" spans="2:16" s="1" customFormat="1" x14ac:dyDescent="0.35">
      <c r="B49" s="15" t="s">
        <v>94</v>
      </c>
      <c r="C49" s="31" t="s">
        <v>37</v>
      </c>
      <c r="D49" s="12">
        <v>2</v>
      </c>
      <c r="E49" s="29"/>
      <c r="F49" s="4"/>
      <c r="G49" s="7">
        <v>2</v>
      </c>
      <c r="H49" s="7"/>
      <c r="I49" s="7"/>
      <c r="J49" s="7"/>
      <c r="K49" s="7"/>
      <c r="L49" s="7"/>
      <c r="M49" s="7"/>
      <c r="N49" s="7">
        <v>2</v>
      </c>
      <c r="O49" s="7"/>
      <c r="P49" s="7"/>
    </row>
    <row r="50" spans="2:16" s="1" customFormat="1" x14ac:dyDescent="0.35">
      <c r="B50" s="15" t="s">
        <v>43</v>
      </c>
      <c r="C50" s="31" t="s">
        <v>44</v>
      </c>
      <c r="D50" s="12">
        <v>3</v>
      </c>
      <c r="E50" s="29"/>
      <c r="F50" s="4"/>
      <c r="G50" s="7">
        <v>3</v>
      </c>
      <c r="H50" s="7"/>
      <c r="I50" s="7"/>
      <c r="J50" s="7"/>
      <c r="K50" s="7"/>
      <c r="L50" s="7"/>
      <c r="M50" s="7"/>
      <c r="N50" s="7">
        <v>3</v>
      </c>
      <c r="O50" s="7"/>
      <c r="P50" s="7"/>
    </row>
    <row r="51" spans="2:16" s="1" customFormat="1" x14ac:dyDescent="0.35">
      <c r="B51" s="15"/>
      <c r="D51" s="12"/>
      <c r="E51" s="29"/>
      <c r="F51" s="4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2:16" s="1" customFormat="1" x14ac:dyDescent="0.35">
      <c r="B52" s="16" t="s">
        <v>95</v>
      </c>
      <c r="C52" s="17" t="s">
        <v>105</v>
      </c>
      <c r="D52" s="18">
        <f>SUM(D45:D51)</f>
        <v>17</v>
      </c>
      <c r="E52" s="30"/>
      <c r="F52" s="4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2:16" s="1" customFormat="1" x14ac:dyDescent="0.35">
      <c r="B53" s="5" t="s">
        <v>119</v>
      </c>
      <c r="F53" s="4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2:16" s="1" customFormat="1" x14ac:dyDescent="0.35">
      <c r="B54" s="38" t="s">
        <v>96</v>
      </c>
      <c r="C54" s="32" t="s">
        <v>39</v>
      </c>
      <c r="D54" s="10">
        <v>3</v>
      </c>
      <c r="E54" s="29"/>
      <c r="F54" s="4"/>
      <c r="G54" s="7">
        <v>3</v>
      </c>
      <c r="H54" s="7"/>
      <c r="I54" s="7"/>
      <c r="J54" s="7"/>
      <c r="K54" s="7"/>
      <c r="L54" s="7"/>
      <c r="M54" s="7"/>
      <c r="N54" s="7"/>
      <c r="O54" s="7">
        <v>3</v>
      </c>
      <c r="P54" s="7"/>
    </row>
    <row r="55" spans="2:16" s="1" customFormat="1" x14ac:dyDescent="0.35">
      <c r="B55" s="33" t="s">
        <v>97</v>
      </c>
      <c r="C55" s="31" t="s">
        <v>131</v>
      </c>
      <c r="D55" s="12">
        <v>3</v>
      </c>
      <c r="E55" s="29"/>
      <c r="F55" s="4"/>
      <c r="G55" s="7">
        <v>3</v>
      </c>
      <c r="H55" s="7"/>
      <c r="I55" s="7"/>
      <c r="J55" s="7"/>
      <c r="K55" s="7"/>
      <c r="L55" s="7"/>
      <c r="M55" s="7"/>
      <c r="N55" s="7"/>
      <c r="O55" s="7">
        <v>3</v>
      </c>
      <c r="P55" s="7"/>
    </row>
    <row r="56" spans="2:16" s="1" customFormat="1" x14ac:dyDescent="0.35">
      <c r="B56" s="33" t="s">
        <v>98</v>
      </c>
      <c r="C56" s="31" t="s">
        <v>49</v>
      </c>
      <c r="D56" s="12">
        <v>3</v>
      </c>
      <c r="E56" s="29"/>
      <c r="F56" s="4"/>
      <c r="G56" s="7">
        <v>3</v>
      </c>
      <c r="H56" s="7"/>
      <c r="I56" s="7"/>
      <c r="J56" s="7"/>
      <c r="K56" s="7"/>
      <c r="L56" s="7"/>
      <c r="M56" s="7"/>
      <c r="N56" s="7"/>
      <c r="O56" s="7">
        <v>3</v>
      </c>
      <c r="P56" s="7"/>
    </row>
    <row r="57" spans="2:16" s="1" customFormat="1" x14ac:dyDescent="0.35">
      <c r="B57" s="33" t="s">
        <v>95</v>
      </c>
      <c r="C57" s="31" t="s">
        <v>38</v>
      </c>
      <c r="D57" s="12">
        <v>2</v>
      </c>
      <c r="E57" s="29"/>
      <c r="F57" s="4"/>
      <c r="G57" s="7">
        <v>2</v>
      </c>
      <c r="H57" s="7"/>
      <c r="I57" s="7"/>
      <c r="J57" s="7"/>
      <c r="K57" s="7"/>
      <c r="L57" s="7"/>
      <c r="M57" s="7"/>
      <c r="N57" s="7"/>
      <c r="O57" s="7">
        <v>2</v>
      </c>
      <c r="P57" s="7"/>
    </row>
    <row r="58" spans="2:16" s="1" customFormat="1" x14ac:dyDescent="0.35">
      <c r="B58" s="33" t="s">
        <v>95</v>
      </c>
      <c r="C58" s="31" t="s">
        <v>38</v>
      </c>
      <c r="D58" s="12">
        <v>2</v>
      </c>
      <c r="E58" s="29"/>
      <c r="F58" s="4"/>
      <c r="G58" s="7">
        <v>2</v>
      </c>
      <c r="H58" s="7"/>
      <c r="I58" s="7"/>
      <c r="J58" s="7"/>
      <c r="K58" s="7"/>
      <c r="L58" s="7"/>
      <c r="M58" s="7"/>
      <c r="N58" s="7"/>
      <c r="O58" s="7">
        <v>2</v>
      </c>
      <c r="P58" s="7"/>
    </row>
    <row r="59" spans="2:16" s="1" customFormat="1" x14ac:dyDescent="0.35">
      <c r="B59" s="15" t="s">
        <v>45</v>
      </c>
      <c r="C59" s="31" t="s">
        <v>46</v>
      </c>
      <c r="D59" s="12">
        <v>3</v>
      </c>
      <c r="E59" s="29"/>
      <c r="F59" s="4"/>
      <c r="G59" s="7">
        <v>3</v>
      </c>
      <c r="H59" s="7"/>
      <c r="I59" s="7"/>
      <c r="J59" s="7"/>
      <c r="K59" s="7"/>
      <c r="L59" s="7"/>
      <c r="M59" s="7"/>
      <c r="N59" s="7"/>
      <c r="O59" s="7">
        <v>3</v>
      </c>
      <c r="P59" s="7"/>
    </row>
    <row r="60" spans="2:16" s="1" customFormat="1" x14ac:dyDescent="0.35">
      <c r="B60" s="16"/>
      <c r="C60" s="17" t="s">
        <v>105</v>
      </c>
      <c r="D60" s="18">
        <f>SUM(D54:D59)</f>
        <v>16</v>
      </c>
      <c r="E60" s="30"/>
      <c r="F60" s="4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2:16" s="1" customFormat="1" x14ac:dyDescent="0.35">
      <c r="B61" s="5" t="s">
        <v>120</v>
      </c>
      <c r="F61" s="4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2:16" s="1" customFormat="1" x14ac:dyDescent="0.35">
      <c r="B62" s="8" t="s">
        <v>99</v>
      </c>
      <c r="C62" s="9" t="s">
        <v>48</v>
      </c>
      <c r="D62" s="10">
        <v>3</v>
      </c>
      <c r="E62" s="29"/>
      <c r="F62" s="4"/>
      <c r="G62" s="6">
        <v>3</v>
      </c>
      <c r="H62" s="7"/>
      <c r="I62" s="7"/>
      <c r="J62" s="7"/>
      <c r="K62" s="7"/>
      <c r="L62" s="7"/>
      <c r="M62" s="7"/>
      <c r="N62" s="7"/>
      <c r="O62" s="7"/>
      <c r="P62" s="7">
        <v>3</v>
      </c>
    </row>
    <row r="63" spans="2:16" s="1" customFormat="1" x14ac:dyDescent="0.35">
      <c r="B63" s="33" t="s">
        <v>95</v>
      </c>
      <c r="C63" s="31" t="s">
        <v>38</v>
      </c>
      <c r="D63" s="12">
        <v>2</v>
      </c>
      <c r="E63" s="29"/>
      <c r="F63" s="4"/>
      <c r="G63" s="7">
        <v>2</v>
      </c>
      <c r="H63" s="7"/>
      <c r="I63" s="7"/>
      <c r="J63" s="7"/>
      <c r="K63" s="7"/>
      <c r="L63" s="7"/>
      <c r="M63" s="7"/>
      <c r="N63" s="7"/>
      <c r="O63" s="7"/>
      <c r="P63" s="7">
        <v>2</v>
      </c>
    </row>
    <row r="64" spans="2:16" s="1" customFormat="1" x14ac:dyDescent="0.35">
      <c r="B64" s="33" t="s">
        <v>95</v>
      </c>
      <c r="C64" s="31" t="s">
        <v>38</v>
      </c>
      <c r="D64" s="12">
        <v>2</v>
      </c>
      <c r="E64" s="29"/>
      <c r="F64" s="4"/>
      <c r="G64" s="7">
        <v>2</v>
      </c>
      <c r="H64" s="7"/>
      <c r="I64" s="7"/>
      <c r="J64" s="7"/>
      <c r="K64" s="7"/>
      <c r="L64" s="7"/>
      <c r="M64" s="7"/>
      <c r="N64" s="7"/>
      <c r="O64" s="7"/>
      <c r="P64" s="7">
        <v>2</v>
      </c>
    </row>
    <row r="65" spans="1:19" s="1" customFormat="1" x14ac:dyDescent="0.35">
      <c r="B65" s="15" t="s">
        <v>45</v>
      </c>
      <c r="C65" s="31" t="s">
        <v>46</v>
      </c>
      <c r="D65" s="12">
        <v>3</v>
      </c>
      <c r="E65" s="29"/>
      <c r="F65" s="4"/>
      <c r="G65" s="7">
        <v>3</v>
      </c>
      <c r="H65" s="7"/>
      <c r="I65" s="7"/>
      <c r="J65" s="7"/>
      <c r="K65" s="7"/>
      <c r="L65" s="7"/>
      <c r="M65" s="7"/>
      <c r="N65" s="7"/>
      <c r="O65" s="7"/>
      <c r="P65" s="7">
        <v>3</v>
      </c>
    </row>
    <row r="66" spans="1:19" s="1" customFormat="1" x14ac:dyDescent="0.35">
      <c r="B66" s="21" t="s">
        <v>11</v>
      </c>
      <c r="C66" s="1" t="s">
        <v>12</v>
      </c>
      <c r="D66" s="20">
        <v>3</v>
      </c>
      <c r="E66" s="29"/>
      <c r="F66" s="4"/>
      <c r="G66" s="7">
        <v>3</v>
      </c>
      <c r="H66" s="7"/>
      <c r="I66" s="7"/>
      <c r="J66" s="7"/>
      <c r="K66" s="7"/>
      <c r="L66" s="7"/>
      <c r="M66" s="7"/>
      <c r="N66" s="7"/>
      <c r="O66" s="7"/>
      <c r="P66" s="7">
        <v>3</v>
      </c>
    </row>
    <row r="67" spans="1:19" s="1" customFormat="1" x14ac:dyDescent="0.35">
      <c r="B67" s="21" t="s">
        <v>11</v>
      </c>
      <c r="C67" s="1" t="s">
        <v>12</v>
      </c>
      <c r="D67" s="20">
        <v>3</v>
      </c>
      <c r="E67" s="29"/>
      <c r="F67" s="4"/>
      <c r="G67" s="7">
        <v>3</v>
      </c>
      <c r="H67" s="7"/>
      <c r="I67" s="7"/>
      <c r="J67" s="7"/>
      <c r="K67" s="7"/>
      <c r="L67" s="7"/>
      <c r="M67" s="7"/>
      <c r="N67" s="7"/>
      <c r="O67" s="7"/>
      <c r="P67" s="7">
        <v>3</v>
      </c>
    </row>
    <row r="68" spans="1:19" s="1" customFormat="1" x14ac:dyDescent="0.35">
      <c r="B68" s="19"/>
      <c r="C68" s="22" t="s">
        <v>105</v>
      </c>
      <c r="D68" s="23">
        <f>SUM(D62:D67)</f>
        <v>16</v>
      </c>
      <c r="E68" s="30"/>
      <c r="F68" s="4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9" s="1" customFormat="1" x14ac:dyDescent="0.35">
      <c r="B69" s="24"/>
      <c r="F69" s="4"/>
      <c r="G69" s="25" t="s">
        <v>100</v>
      </c>
      <c r="H69" s="4"/>
      <c r="I69" s="4"/>
      <c r="J69" s="4"/>
      <c r="K69" s="4"/>
      <c r="L69" s="4"/>
      <c r="M69" s="4"/>
      <c r="N69" s="4"/>
      <c r="O69" s="4"/>
      <c r="P69" s="4"/>
    </row>
    <row r="70" spans="1:19" s="1" customFormat="1" x14ac:dyDescent="0.35">
      <c r="B70" s="26"/>
      <c r="C70" s="2" t="s">
        <v>101</v>
      </c>
      <c r="D70" s="27">
        <f>SUM(D9,D18,D27,D35,D43,D52,D60,D68)</f>
        <v>134</v>
      </c>
      <c r="E70" s="27"/>
      <c r="F70" s="4"/>
      <c r="G70" s="4">
        <f>SUM(G4:G68)</f>
        <v>134</v>
      </c>
      <c r="H70" s="4"/>
      <c r="I70" s="4">
        <f t="shared" ref="I70:P70" si="0">SUM(I4:I68)</f>
        <v>15</v>
      </c>
      <c r="J70" s="4">
        <f t="shared" si="0"/>
        <v>18</v>
      </c>
      <c r="K70" s="4">
        <f t="shared" si="0"/>
        <v>18</v>
      </c>
      <c r="L70" s="4">
        <f t="shared" si="0"/>
        <v>16</v>
      </c>
      <c r="M70" s="4">
        <f t="shared" si="0"/>
        <v>18</v>
      </c>
      <c r="N70" s="4">
        <f t="shared" si="0"/>
        <v>17</v>
      </c>
      <c r="O70" s="4">
        <f t="shared" si="0"/>
        <v>16</v>
      </c>
      <c r="P70" s="4">
        <f t="shared" si="0"/>
        <v>16</v>
      </c>
      <c r="Q70" s="4">
        <f>SUM(I70:P70)</f>
        <v>134</v>
      </c>
    </row>
    <row r="71" spans="1:19" s="1" customFormat="1" x14ac:dyDescent="0.35">
      <c r="B71" s="2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9" s="1" customFormat="1" x14ac:dyDescent="0.35">
      <c r="B72" s="26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9" s="1" customFormat="1" x14ac:dyDescent="0.35">
      <c r="B73" s="2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9" s="1" customFormat="1" x14ac:dyDescent="0.35">
      <c r="B74" s="2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9" s="4" customFormat="1" x14ac:dyDescent="0.35">
      <c r="A75" s="1"/>
      <c r="B75" s="26"/>
      <c r="C75" s="1"/>
      <c r="D75" s="1"/>
      <c r="E75" s="1"/>
      <c r="Q75" s="1"/>
      <c r="R75" s="1"/>
      <c r="S75" s="1"/>
    </row>
    <row r="76" spans="1:19" s="4" customFormat="1" x14ac:dyDescent="0.35">
      <c r="A76" s="1"/>
      <c r="B76" s="26"/>
      <c r="C76" s="1"/>
      <c r="D76" s="1"/>
      <c r="E76" s="1"/>
      <c r="Q76" s="1"/>
      <c r="R76" s="1"/>
      <c r="S76" s="1"/>
    </row>
    <row r="77" spans="1:19" s="4" customFormat="1" x14ac:dyDescent="0.35">
      <c r="A77" s="1"/>
      <c r="B77" s="26"/>
      <c r="C77" s="1"/>
      <c r="D77" s="1"/>
      <c r="E77" s="1"/>
      <c r="Q77" s="1"/>
      <c r="R77" s="1"/>
      <c r="S77" s="1"/>
    </row>
    <row r="78" spans="1:19" s="4" customFormat="1" x14ac:dyDescent="0.35">
      <c r="A78" s="1"/>
      <c r="B78" s="26"/>
      <c r="C78" s="1"/>
      <c r="D78" s="1"/>
      <c r="E78" s="1"/>
      <c r="Q78" s="1"/>
      <c r="R78" s="1"/>
      <c r="S78" s="1"/>
    </row>
    <row r="79" spans="1:19" s="4" customFormat="1" x14ac:dyDescent="0.35">
      <c r="A79" s="1"/>
      <c r="B79" s="26"/>
      <c r="C79" s="1"/>
      <c r="D79" s="1"/>
      <c r="E79" s="1"/>
      <c r="Q79" s="1"/>
      <c r="R79" s="1"/>
      <c r="S79" s="1"/>
    </row>
    <row r="80" spans="1:19" s="4" customFormat="1" x14ac:dyDescent="0.35">
      <c r="A80" s="1"/>
      <c r="B80" s="26"/>
      <c r="C80" s="1"/>
      <c r="D80" s="1"/>
      <c r="E80" s="1"/>
      <c r="Q80" s="1"/>
      <c r="R80" s="1"/>
      <c r="S80" s="1"/>
    </row>
    <row r="81" spans="1:19" s="4" customFormat="1" x14ac:dyDescent="0.35">
      <c r="A81" s="1"/>
      <c r="B81" s="26"/>
      <c r="C81" s="1"/>
      <c r="D81" s="1"/>
      <c r="E81" s="1"/>
      <c r="Q81" s="1"/>
      <c r="R81" s="1"/>
      <c r="S81" s="1"/>
    </row>
    <row r="82" spans="1:19" s="4" customFormat="1" x14ac:dyDescent="0.35">
      <c r="A82" s="1"/>
      <c r="B82" s="26"/>
      <c r="C82" s="1"/>
      <c r="D82" s="1"/>
      <c r="E82" s="1"/>
      <c r="Q82" s="1"/>
      <c r="R82" s="1"/>
      <c r="S82" s="1"/>
    </row>
    <row r="83" spans="1:19" s="4" customFormat="1" x14ac:dyDescent="0.35">
      <c r="A83" s="1"/>
      <c r="B83" s="26"/>
      <c r="C83" s="1"/>
      <c r="D83" s="1"/>
      <c r="E83" s="1"/>
      <c r="Q83" s="1"/>
      <c r="R83" s="1"/>
      <c r="S83" s="1"/>
    </row>
  </sheetData>
  <mergeCells count="1">
    <mergeCell ref="I2:P2"/>
  </mergeCells>
  <hyperlinks>
    <hyperlink ref="B31" r:id="rId1" display="https://catalogo.uniandes.edu.co/2017/Catalogo/Cursos/IELE/2000/IELE-2002" xr:uid="{E19AB542-BC20-4521-A870-76A5BF705823}"/>
    <hyperlink ref="B21" r:id="rId2" display="https://catalogo.uniandes.edu.co/2017/Catalogo/Cursos/IELE/2000/IELE-2206" xr:uid="{CF62BA3C-F4BF-4939-A31F-964CE42016ED}"/>
    <hyperlink ref="B22" r:id="rId3" display="https://catalogo.uniandes.edu.co/2017/Catalogo/Cursos/IELE/2000/IELE-2500" xr:uid="{8961E88D-F436-4308-80AB-BA45DE2D4499}"/>
    <hyperlink ref="B32" r:id="rId4" display="https://catalogo.uniandes.edu.co/2017/Catalogo/Cursos/IIND/2000/IIND-2106" xr:uid="{48423F44-8FC7-4F1A-AC02-79B81ED0D762}"/>
    <hyperlink ref="B38" r:id="rId5" display="https://catalogo.uniandes.edu.co/2017/Catalogo/Cursos/IELE/2000/IELE-2009" xr:uid="{0C003E53-0999-45D0-AB74-3452721B407B}"/>
    <hyperlink ref="B40" r:id="rId6" display="https://catalogo.uniandes.edu.co/2017/Catalogo/Cursos/IELE/2000/IELE-2300" xr:uid="{1B67CF39-BEF8-4AF4-A1D5-5E2E99AF7D4C}"/>
    <hyperlink ref="B39" r:id="rId7" display="https://catalogo.uniandes.edu.co/2017/Catalogo/Cursos/IELE/2000/IELE-2402" xr:uid="{90EE4755-2C43-4054-A70E-5D1EDCDE140C}"/>
    <hyperlink ref="B37" r:id="rId8" display="https://catalogo.uniandes.edu.co/2017/Catalogo/Cursos/IIND/2000/IIND-2401" xr:uid="{F9DA24A9-B90C-4C7B-BFA6-95F16AA29D9B}"/>
    <hyperlink ref="B49" r:id="rId9" display="https://catalogo.uniandes.edu.co/2017/Catalogo/Cursos/IELE/3000/IELE-3110" xr:uid="{B23A8338-DA36-4E77-B567-35B2F02E8FAC}"/>
    <hyperlink ref="B47" r:id="rId10" display="https://catalogo.uniandes.edu.co/2017/Catalogo/Cursos/IELE/3000/IELE-3006" xr:uid="{A25856D6-B8D7-4031-92D3-362B8AEA755A}"/>
    <hyperlink ref="B59" r:id="rId11" display="https://catalogo.uniandes.edu.co/2017/Catalogo/Cursos/GENERALES-Y-REQUISITOS/CLE" xr:uid="{DC2D405D-E325-4B98-80D6-714D0B9096D3}"/>
    <hyperlink ref="B67" r:id="rId12" display="https://catalogo.uniandes.edu.co/2017/Catalogo/Cursos/GENERALES-Y-REQUISITOS/CBU" xr:uid="{D63FD1DD-428D-47FD-B147-BE8FAECD86D8}"/>
    <hyperlink ref="B41" r:id="rId13" display="https://catalogo.uniandes.edu.co/2017/Catalogo/Cursos/IELE/2000/IELE-2010" xr:uid="{6C192DBD-FCFA-464C-BBC9-CA698D027FBF}"/>
    <hyperlink ref="B23" r:id="rId14" display="https://catalogo.uniandes.edu.co/2017/Catalogo/Cursos/MATE/1000/MATE-1207" xr:uid="{7792B2F6-5696-4191-B47C-7DD3F5479156}"/>
    <hyperlink ref="B24" r:id="rId15" display="https://catalogo.uniandes.edu.co/2017/Catalogo/Cursos/MATE/2000/MATE-2210" xr:uid="{66C7EE9D-C511-4D83-901B-840E278B0219}"/>
    <hyperlink ref="B42" r:id="rId16" display="https://catalogo.uniandes.edu.co/2017/Catalogo/Cursos/DERE/1000/DERE-1300" xr:uid="{0AF0E828-6AB7-474D-BCF0-C22C64934BEF}"/>
    <hyperlink ref="B65" r:id="rId17" display="https://catalogo.uniandes.edu.co/2017/Catalogo/Cursos/GENERALES-Y-REQUISITOS/CLE" xr:uid="{8F6D30DF-D43C-42A4-A024-1A1413BB0B67}"/>
    <hyperlink ref="B50" r:id="rId18" display="https://catalogo.uniandes.edu.co/2017/Catalogo/Cursos/IELE/Generales/XXXX-Electiva-en-Fundamentos-de-Ingenier-237-a-3" xr:uid="{677F7FEA-F0E3-49DF-8AAF-9CD01AC3A976}"/>
    <hyperlink ref="B15" r:id="rId19" display="https://catalogo.uniandes.edu.co/2017/Catalogo/Cursos/MATE/1000/MATE-1214" xr:uid="{EF589191-8EEA-41C2-8EB5-4B598286387E}"/>
    <hyperlink ref="B14" r:id="rId20" display="https://catalogo.uniandes.edu.co/2017/Catalogo/Cursos/IELE/2000/IELE-2010" xr:uid="{0BB0A3DC-A6D6-4CC1-B536-B0369B9E8329}"/>
    <hyperlink ref="B17" r:id="rId21" display="https://catalogo.uniandes.edu.co/2017/Catalogo/Cursos/GENERALES-Y-REQUISITOS/CLE" xr:uid="{D00B0EFD-3833-4EF6-B5D7-4C425ADF95A2}"/>
    <hyperlink ref="B6" r:id="rId22" display="http://uniandes.smartcatalogiq.com/Catalogo-general-2022/Catalogo/Cursos/ISIS/1000/ISIS-1221" xr:uid="{EA557390-A7E6-4F7C-85C9-E9ED9F6A2334}"/>
    <hyperlink ref="B66" r:id="rId23" display="https://catalogo.uniandes.edu.co/2017/Catalogo/Cursos/GENERALES-Y-REQUISITOS/CBU" xr:uid="{61018F51-D51A-4D9A-BCCF-95E1CC4EA03E}"/>
    <hyperlink ref="B26" r:id="rId24" display="https://catalogo.uniandes.edu.co/2017/Catalogo/Cursos/GENERALES-Y-REQUISITOS/CBU" xr:uid="{4BDD6891-2A5C-41A2-B50E-6ED6ABEE21A4}"/>
  </hyperlinks>
  <pageMargins left="0.7" right="0.7" top="0.75" bottom="0.75" header="0.3" footer="0.3"/>
  <pageSetup orientation="portrait"/>
  <legacy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83EB-9BFA-4E8F-A5A8-529658BDB793}">
  <dimension ref="A1:S84"/>
  <sheetViews>
    <sheetView tabSelected="1" workbookViewId="0">
      <selection activeCell="R1" sqref="R1:R1048576"/>
    </sheetView>
  </sheetViews>
  <sheetFormatPr baseColWidth="10" defaultColWidth="11.453125" defaultRowHeight="14.5" x14ac:dyDescent="0.35"/>
  <cols>
    <col min="1" max="1" width="1.81640625" style="1" customWidth="1"/>
    <col min="2" max="2" width="14.81640625" style="26" customWidth="1"/>
    <col min="3" max="3" width="48.7265625" style="1" customWidth="1"/>
    <col min="4" max="4" width="10.1796875" style="1" customWidth="1"/>
    <col min="5" max="5" width="1.26953125" style="1" customWidth="1"/>
    <col min="6" max="6" width="2.1796875" style="4" customWidth="1"/>
    <col min="7" max="7" width="12" style="4" bestFit="1" customWidth="1"/>
    <col min="8" max="8" width="2.54296875" style="4" customWidth="1"/>
    <col min="9" max="9" width="6.453125" style="4" bestFit="1" customWidth="1"/>
    <col min="10" max="12" width="6" style="4" bestFit="1" customWidth="1"/>
    <col min="13" max="13" width="6.453125" style="4" bestFit="1" customWidth="1"/>
    <col min="14" max="16" width="6" style="4" bestFit="1" customWidth="1"/>
    <col min="17" max="17" width="7.54296875" style="1" customWidth="1"/>
    <col min="18" max="19" width="11.453125" style="1"/>
  </cols>
  <sheetData>
    <row r="1" spans="2:16" x14ac:dyDescent="0.35">
      <c r="B1" s="3" t="s">
        <v>127</v>
      </c>
    </row>
    <row r="2" spans="2:16" x14ac:dyDescent="0.35">
      <c r="B2" s="3" t="s">
        <v>139</v>
      </c>
      <c r="I2" s="78" t="s">
        <v>56</v>
      </c>
      <c r="J2" s="79"/>
      <c r="K2" s="79"/>
      <c r="L2" s="79"/>
      <c r="M2" s="80"/>
      <c r="N2" s="80"/>
      <c r="O2" s="80"/>
      <c r="P2" s="81"/>
    </row>
    <row r="3" spans="2:16" x14ac:dyDescent="0.35">
      <c r="B3" s="5" t="s">
        <v>103</v>
      </c>
      <c r="G3" s="6" t="s">
        <v>57</v>
      </c>
      <c r="H3" s="7"/>
      <c r="I3" s="7" t="s">
        <v>58</v>
      </c>
      <c r="J3" s="7" t="s">
        <v>59</v>
      </c>
      <c r="K3" s="7" t="s">
        <v>60</v>
      </c>
      <c r="L3" s="7" t="s">
        <v>61</v>
      </c>
      <c r="M3" s="7" t="s">
        <v>62</v>
      </c>
      <c r="N3" s="7" t="s">
        <v>63</v>
      </c>
      <c r="O3" s="7" t="s">
        <v>64</v>
      </c>
      <c r="P3" s="7" t="s">
        <v>65</v>
      </c>
    </row>
    <row r="4" spans="2:16" x14ac:dyDescent="0.35">
      <c r="B4" s="8" t="s">
        <v>67</v>
      </c>
      <c r="C4" s="9" t="s">
        <v>3</v>
      </c>
      <c r="D4" s="10">
        <v>3</v>
      </c>
      <c r="E4" s="29"/>
      <c r="G4" s="6">
        <v>3</v>
      </c>
      <c r="H4" s="7"/>
      <c r="I4" s="7">
        <v>3</v>
      </c>
      <c r="J4" s="7"/>
      <c r="K4" s="7"/>
      <c r="L4" s="7"/>
      <c r="M4" s="7"/>
      <c r="N4" s="7"/>
      <c r="O4" s="7"/>
      <c r="P4" s="7"/>
    </row>
    <row r="5" spans="2:16" x14ac:dyDescent="0.35">
      <c r="B5" s="59" t="s">
        <v>126</v>
      </c>
      <c r="C5" s="56" t="s">
        <v>1</v>
      </c>
      <c r="D5" s="61">
        <v>3</v>
      </c>
      <c r="E5" s="56" t="s">
        <v>55</v>
      </c>
      <c r="F5" s="56" t="s">
        <v>55</v>
      </c>
      <c r="G5" s="40">
        <v>3</v>
      </c>
      <c r="H5" s="60" t="s">
        <v>55</v>
      </c>
      <c r="I5" s="41">
        <v>3</v>
      </c>
      <c r="J5" s="60" t="s">
        <v>55</v>
      </c>
      <c r="K5" s="7"/>
      <c r="L5" s="7"/>
      <c r="M5" s="7"/>
      <c r="N5" s="7"/>
      <c r="O5" s="7"/>
      <c r="P5" s="7"/>
    </row>
    <row r="6" spans="2:16" x14ac:dyDescent="0.35">
      <c r="B6" s="11" t="s">
        <v>68</v>
      </c>
      <c r="C6" s="1" t="s">
        <v>4</v>
      </c>
      <c r="D6" s="12">
        <v>3</v>
      </c>
      <c r="E6" s="29"/>
      <c r="G6" s="6">
        <v>3</v>
      </c>
      <c r="H6" s="7"/>
      <c r="I6" s="7">
        <v>3</v>
      </c>
      <c r="J6" s="7"/>
      <c r="K6" s="7"/>
      <c r="L6" s="7"/>
      <c r="M6" s="7"/>
      <c r="N6" s="7"/>
      <c r="O6" s="7"/>
      <c r="P6" s="7"/>
    </row>
    <row r="7" spans="2:16" x14ac:dyDescent="0.35">
      <c r="B7" s="55" t="s">
        <v>122</v>
      </c>
      <c r="C7" s="56" t="s">
        <v>123</v>
      </c>
      <c r="D7" s="57">
        <v>3</v>
      </c>
      <c r="E7" s="29"/>
      <c r="G7" s="6">
        <v>3</v>
      </c>
      <c r="H7" s="7"/>
      <c r="I7" s="7">
        <v>3</v>
      </c>
      <c r="J7" s="7"/>
      <c r="K7" s="7"/>
      <c r="L7" s="7"/>
      <c r="M7" s="7"/>
      <c r="N7" s="7"/>
      <c r="O7" s="7"/>
      <c r="P7" s="7"/>
    </row>
    <row r="8" spans="2:16" x14ac:dyDescent="0.35">
      <c r="B8" s="15" t="s">
        <v>11</v>
      </c>
      <c r="C8" s="1" t="s">
        <v>12</v>
      </c>
      <c r="D8" s="12">
        <v>3</v>
      </c>
      <c r="E8" s="29"/>
      <c r="G8" s="6">
        <v>3</v>
      </c>
      <c r="H8" s="7"/>
      <c r="I8" s="7">
        <v>3</v>
      </c>
      <c r="J8" s="7"/>
      <c r="K8" s="7"/>
      <c r="L8" s="7"/>
      <c r="M8" s="7"/>
      <c r="N8" s="7"/>
      <c r="O8" s="7"/>
      <c r="P8" s="7"/>
    </row>
    <row r="9" spans="2:16" x14ac:dyDescent="0.35">
      <c r="B9" s="15"/>
      <c r="D9" s="12"/>
      <c r="E9" s="29"/>
      <c r="G9" s="6"/>
      <c r="H9" s="7"/>
      <c r="I9" s="7"/>
      <c r="J9" s="7"/>
      <c r="K9" s="7"/>
      <c r="L9" s="7"/>
      <c r="M9" s="7"/>
      <c r="N9" s="7"/>
      <c r="O9" s="7"/>
      <c r="P9" s="7"/>
    </row>
    <row r="10" spans="2:16" x14ac:dyDescent="0.35">
      <c r="B10" s="16"/>
      <c r="C10" s="17" t="s">
        <v>105</v>
      </c>
      <c r="D10" s="18">
        <f>SUM(D4:D9)</f>
        <v>15</v>
      </c>
      <c r="E10" s="30"/>
      <c r="G10" s="6"/>
      <c r="H10" s="7"/>
      <c r="I10" s="7"/>
      <c r="J10" s="7"/>
      <c r="K10" s="7"/>
      <c r="L10" s="7"/>
      <c r="M10" s="7"/>
      <c r="N10" s="7"/>
      <c r="O10" s="7"/>
      <c r="P10" s="7"/>
    </row>
    <row r="11" spans="2:16" x14ac:dyDescent="0.35">
      <c r="B11" s="5" t="s">
        <v>106</v>
      </c>
      <c r="G11" s="6"/>
      <c r="H11" s="7"/>
      <c r="I11" s="7"/>
      <c r="J11" s="7"/>
      <c r="K11" s="7"/>
      <c r="L11" s="7"/>
      <c r="M11" s="7"/>
      <c r="N11" s="7"/>
      <c r="O11" s="7"/>
      <c r="P11" s="7"/>
    </row>
    <row r="12" spans="2:16" x14ac:dyDescent="0.35">
      <c r="B12" s="8" t="s">
        <v>71</v>
      </c>
      <c r="C12" s="32" t="s">
        <v>7</v>
      </c>
      <c r="D12" s="10">
        <v>1</v>
      </c>
      <c r="E12" s="29"/>
      <c r="G12" s="6">
        <v>1</v>
      </c>
      <c r="H12" s="7"/>
      <c r="I12" s="7"/>
      <c r="J12" s="7">
        <v>1</v>
      </c>
      <c r="K12" s="7"/>
      <c r="L12" s="7"/>
      <c r="M12" s="7"/>
      <c r="N12" s="7"/>
      <c r="O12" s="7"/>
      <c r="P12" s="7"/>
    </row>
    <row r="13" spans="2:16" x14ac:dyDescent="0.35">
      <c r="B13" s="15" t="s">
        <v>70</v>
      </c>
      <c r="C13" s="1" t="s">
        <v>6</v>
      </c>
      <c r="D13" s="12">
        <v>3</v>
      </c>
      <c r="E13" s="29"/>
      <c r="G13" s="6">
        <v>3</v>
      </c>
      <c r="H13" s="7"/>
      <c r="I13" s="7"/>
      <c r="J13" s="7">
        <v>3</v>
      </c>
      <c r="K13" s="7"/>
      <c r="L13" s="7"/>
      <c r="M13" s="7"/>
      <c r="N13" s="7"/>
      <c r="O13" s="7"/>
      <c r="P13" s="7"/>
    </row>
    <row r="14" spans="2:16" x14ac:dyDescent="0.35">
      <c r="B14" s="13" t="s">
        <v>69</v>
      </c>
      <c r="C14" s="1" t="s">
        <v>5</v>
      </c>
      <c r="D14" s="14">
        <v>2</v>
      </c>
      <c r="E14" s="29"/>
      <c r="G14" s="6">
        <v>2</v>
      </c>
      <c r="H14" s="7"/>
      <c r="I14" s="7"/>
      <c r="J14" s="7">
        <v>2</v>
      </c>
      <c r="K14" s="7"/>
      <c r="L14" s="7"/>
      <c r="M14" s="7"/>
      <c r="N14" s="7"/>
      <c r="O14" s="7"/>
      <c r="P14" s="7"/>
    </row>
    <row r="15" spans="2:16" x14ac:dyDescent="0.35">
      <c r="B15" s="15" t="s">
        <v>43</v>
      </c>
      <c r="C15" s="31" t="s">
        <v>44</v>
      </c>
      <c r="D15" s="12">
        <v>3</v>
      </c>
      <c r="E15" s="29"/>
      <c r="G15" s="7">
        <v>3</v>
      </c>
      <c r="H15" s="7"/>
      <c r="I15" s="7"/>
      <c r="J15" s="7">
        <v>3</v>
      </c>
      <c r="K15" s="7"/>
      <c r="L15" s="7"/>
      <c r="M15" s="7"/>
      <c r="N15" s="7"/>
      <c r="O15" s="7"/>
      <c r="P15" s="7"/>
    </row>
    <row r="16" spans="2:16" x14ac:dyDescent="0.35">
      <c r="B16" s="15" t="s">
        <v>11</v>
      </c>
      <c r="C16" s="1" t="s">
        <v>12</v>
      </c>
      <c r="D16" s="12">
        <v>3</v>
      </c>
      <c r="E16" s="29"/>
      <c r="G16" s="6">
        <v>3</v>
      </c>
      <c r="H16" s="7"/>
      <c r="I16" s="7"/>
      <c r="J16" s="7">
        <v>3</v>
      </c>
      <c r="K16" s="7"/>
      <c r="L16" s="7"/>
      <c r="M16" s="7"/>
      <c r="N16" s="7"/>
      <c r="O16" s="7"/>
      <c r="P16" s="7"/>
    </row>
    <row r="17" spans="2:16" x14ac:dyDescent="0.35">
      <c r="B17" s="15" t="s">
        <v>11</v>
      </c>
      <c r="C17" s="1" t="s">
        <v>12</v>
      </c>
      <c r="D17" s="12">
        <v>3</v>
      </c>
      <c r="E17" s="29"/>
      <c r="G17" s="6">
        <v>3</v>
      </c>
      <c r="H17" s="7"/>
      <c r="I17" s="7"/>
      <c r="J17" s="7">
        <v>3</v>
      </c>
      <c r="K17" s="7"/>
      <c r="L17" s="7"/>
      <c r="M17" s="7"/>
      <c r="N17" s="7"/>
      <c r="O17" s="7"/>
      <c r="P17" s="7"/>
    </row>
    <row r="18" spans="2:16" x14ac:dyDescent="0.35">
      <c r="B18" s="16"/>
      <c r="C18" s="17" t="s">
        <v>105</v>
      </c>
      <c r="D18" s="18">
        <f>SUM(D12:D17)</f>
        <v>15</v>
      </c>
      <c r="E18" s="30"/>
      <c r="G18" s="6"/>
      <c r="H18" s="7"/>
      <c r="I18" s="7"/>
      <c r="J18" s="7"/>
      <c r="K18" s="7"/>
      <c r="L18" s="7"/>
      <c r="M18" s="7"/>
      <c r="N18" s="7"/>
      <c r="O18" s="7"/>
      <c r="P18" s="7"/>
    </row>
    <row r="19" spans="2:16" x14ac:dyDescent="0.35">
      <c r="B19" s="5" t="s">
        <v>107</v>
      </c>
      <c r="G19" s="6"/>
      <c r="H19" s="7"/>
      <c r="I19" s="7"/>
      <c r="J19" s="7"/>
      <c r="K19" s="7"/>
      <c r="L19" s="7"/>
      <c r="M19" s="7"/>
      <c r="N19" s="7"/>
      <c r="O19" s="7"/>
      <c r="P19" s="7"/>
    </row>
    <row r="20" spans="2:16" s="1" customFormat="1" x14ac:dyDescent="0.35">
      <c r="B20" s="34" t="s">
        <v>76</v>
      </c>
      <c r="C20" s="32" t="s">
        <v>13</v>
      </c>
      <c r="D20" s="10">
        <v>1</v>
      </c>
      <c r="E20" s="29"/>
      <c r="F20" s="4"/>
      <c r="G20" s="6">
        <v>1</v>
      </c>
      <c r="H20" s="7"/>
      <c r="I20" s="7"/>
      <c r="J20" s="7"/>
      <c r="K20" s="7">
        <v>1</v>
      </c>
      <c r="L20" s="7"/>
      <c r="M20" s="7"/>
      <c r="N20" s="7"/>
      <c r="O20" s="7"/>
      <c r="P20" s="7"/>
    </row>
    <row r="21" spans="2:16" s="1" customFormat="1" x14ac:dyDescent="0.35">
      <c r="B21" s="33" t="s">
        <v>72</v>
      </c>
      <c r="C21" s="31" t="s">
        <v>8</v>
      </c>
      <c r="D21" s="12">
        <v>3</v>
      </c>
      <c r="E21" s="29"/>
      <c r="F21" s="4"/>
      <c r="G21" s="6">
        <v>3</v>
      </c>
      <c r="H21" s="7"/>
      <c r="I21" s="7"/>
      <c r="J21" s="7"/>
      <c r="K21" s="7">
        <v>3</v>
      </c>
      <c r="L21" s="7"/>
      <c r="M21" s="7"/>
      <c r="N21" s="7"/>
      <c r="O21" s="7"/>
      <c r="P21" s="7"/>
    </row>
    <row r="22" spans="2:16" s="1" customFormat="1" x14ac:dyDescent="0.35">
      <c r="B22" s="52" t="s">
        <v>42</v>
      </c>
      <c r="C22" s="31" t="s">
        <v>22</v>
      </c>
      <c r="D22" s="46">
        <v>2</v>
      </c>
      <c r="E22" s="29"/>
      <c r="F22" s="4"/>
      <c r="G22" s="7">
        <v>2</v>
      </c>
      <c r="H22" s="7"/>
      <c r="I22" s="7"/>
      <c r="J22" s="7"/>
      <c r="K22" s="7">
        <v>2</v>
      </c>
      <c r="L22" s="7"/>
      <c r="M22" s="7"/>
      <c r="N22" s="7"/>
      <c r="O22" s="7"/>
      <c r="P22" s="7"/>
    </row>
    <row r="23" spans="2:16" s="1" customFormat="1" x14ac:dyDescent="0.35">
      <c r="B23" s="15" t="s">
        <v>73</v>
      </c>
      <c r="C23" s="31" t="s">
        <v>9</v>
      </c>
      <c r="D23" s="12">
        <v>3</v>
      </c>
      <c r="E23" s="29"/>
      <c r="F23" s="4"/>
      <c r="G23" s="6">
        <v>3</v>
      </c>
      <c r="H23" s="7"/>
      <c r="I23" s="7"/>
      <c r="J23" s="7"/>
      <c r="K23" s="7">
        <v>3</v>
      </c>
      <c r="L23" s="7"/>
      <c r="M23" s="7"/>
      <c r="N23" s="7"/>
      <c r="O23" s="7"/>
      <c r="P23" s="7"/>
    </row>
    <row r="24" spans="2:16" s="1" customFormat="1" x14ac:dyDescent="0.35">
      <c r="B24" s="15" t="s">
        <v>74</v>
      </c>
      <c r="C24" s="31" t="s">
        <v>10</v>
      </c>
      <c r="D24" s="12">
        <v>3</v>
      </c>
      <c r="E24" s="29"/>
      <c r="F24" s="4"/>
      <c r="G24" s="6">
        <v>3</v>
      </c>
      <c r="H24" s="7"/>
      <c r="I24" s="7"/>
      <c r="J24" s="7"/>
      <c r="K24" s="7">
        <v>3</v>
      </c>
      <c r="L24" s="7"/>
      <c r="M24" s="7"/>
      <c r="N24" s="7"/>
      <c r="O24" s="7"/>
      <c r="P24" s="7"/>
    </row>
    <row r="25" spans="2:16" s="1" customFormat="1" x14ac:dyDescent="0.35">
      <c r="B25" s="33" t="s">
        <v>75</v>
      </c>
      <c r="C25" s="1" t="s">
        <v>51</v>
      </c>
      <c r="D25" s="12">
        <v>3</v>
      </c>
      <c r="E25" s="29"/>
      <c r="F25" s="4"/>
      <c r="G25" s="6">
        <v>3</v>
      </c>
      <c r="H25" s="7"/>
      <c r="I25" s="7"/>
      <c r="J25" s="7"/>
      <c r="K25" s="7">
        <v>3</v>
      </c>
      <c r="L25" s="7"/>
      <c r="M25" s="7"/>
      <c r="N25" s="7"/>
      <c r="O25" s="7"/>
      <c r="P25" s="7"/>
    </row>
    <row r="26" spans="2:16" s="1" customFormat="1" x14ac:dyDescent="0.35">
      <c r="B26" s="15" t="s">
        <v>80</v>
      </c>
      <c r="C26" s="31" t="s">
        <v>17</v>
      </c>
      <c r="D26" s="12">
        <v>3</v>
      </c>
      <c r="E26" s="29"/>
      <c r="F26" s="4"/>
      <c r="G26" s="7">
        <v>3</v>
      </c>
      <c r="H26" s="7"/>
      <c r="I26" s="7"/>
      <c r="J26" s="7"/>
      <c r="K26" s="7">
        <v>3</v>
      </c>
      <c r="L26" s="7"/>
      <c r="M26" s="7"/>
      <c r="N26" s="7"/>
      <c r="O26" s="7"/>
      <c r="P26" s="7"/>
    </row>
    <row r="27" spans="2:16" s="1" customFormat="1" x14ac:dyDescent="0.35">
      <c r="B27" s="16"/>
      <c r="C27" s="17" t="s">
        <v>105</v>
      </c>
      <c r="D27" s="18">
        <f>SUM(D20:D26)</f>
        <v>18</v>
      </c>
      <c r="E27" s="30"/>
      <c r="F27" s="4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2:16" s="1" customFormat="1" x14ac:dyDescent="0.35">
      <c r="B28" s="5" t="s">
        <v>110</v>
      </c>
      <c r="F28" s="4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2:16" s="1" customFormat="1" x14ac:dyDescent="0.35">
      <c r="B29" s="42" t="s">
        <v>81</v>
      </c>
      <c r="C29" s="43" t="s">
        <v>21</v>
      </c>
      <c r="D29" s="44">
        <v>3</v>
      </c>
      <c r="E29" s="29"/>
      <c r="F29" s="4"/>
      <c r="G29" s="7">
        <v>3</v>
      </c>
      <c r="H29" s="7"/>
      <c r="I29" s="7"/>
      <c r="J29" s="7"/>
      <c r="K29" s="7"/>
      <c r="L29" s="7">
        <v>3</v>
      </c>
      <c r="M29" s="7"/>
      <c r="N29" s="7"/>
      <c r="O29" s="7"/>
      <c r="P29" s="7"/>
    </row>
    <row r="30" spans="2:16" s="1" customFormat="1" x14ac:dyDescent="0.35">
      <c r="B30" s="45" t="s">
        <v>77</v>
      </c>
      <c r="C30" s="31" t="s">
        <v>14</v>
      </c>
      <c r="D30" s="46">
        <v>3</v>
      </c>
      <c r="E30" s="29"/>
      <c r="F30" s="4"/>
      <c r="G30" s="7">
        <v>3</v>
      </c>
      <c r="H30" s="7"/>
      <c r="I30" s="7"/>
      <c r="J30" s="7"/>
      <c r="K30" s="7"/>
      <c r="L30" s="7">
        <v>3</v>
      </c>
      <c r="M30" s="7"/>
      <c r="N30" s="7"/>
      <c r="O30" s="7"/>
      <c r="P30" s="7"/>
    </row>
    <row r="31" spans="2:16" s="1" customFormat="1" x14ac:dyDescent="0.35">
      <c r="B31" s="45" t="s">
        <v>24</v>
      </c>
      <c r="C31" s="31" t="s">
        <v>15</v>
      </c>
      <c r="D31" s="46">
        <v>3</v>
      </c>
      <c r="E31" s="29"/>
      <c r="F31" s="4"/>
      <c r="G31" s="7">
        <v>3</v>
      </c>
      <c r="H31" s="7"/>
      <c r="I31" s="7"/>
      <c r="J31" s="7"/>
      <c r="K31" s="7"/>
      <c r="L31" s="7">
        <v>3</v>
      </c>
      <c r="M31" s="7"/>
      <c r="N31" s="7"/>
      <c r="O31" s="7"/>
      <c r="P31" s="7"/>
    </row>
    <row r="32" spans="2:16" s="1" customFormat="1" x14ac:dyDescent="0.35">
      <c r="B32" s="45" t="s">
        <v>78</v>
      </c>
      <c r="C32" s="31" t="s">
        <v>109</v>
      </c>
      <c r="D32" s="46">
        <v>2</v>
      </c>
      <c r="E32" s="29"/>
      <c r="F32" s="4"/>
      <c r="G32" s="7">
        <v>2</v>
      </c>
      <c r="H32" s="7"/>
      <c r="I32" s="7"/>
      <c r="J32" s="7"/>
      <c r="K32" s="7"/>
      <c r="L32" s="7">
        <v>2</v>
      </c>
      <c r="M32" s="7"/>
      <c r="N32" s="7"/>
      <c r="O32" s="7"/>
      <c r="P32" s="7"/>
    </row>
    <row r="33" spans="2:16" s="1" customFormat="1" x14ac:dyDescent="0.35">
      <c r="B33" s="45" t="s">
        <v>83</v>
      </c>
      <c r="C33" s="31" t="s">
        <v>19</v>
      </c>
      <c r="D33" s="46">
        <v>3</v>
      </c>
      <c r="E33" s="29"/>
      <c r="F33" s="4"/>
      <c r="G33" s="7">
        <v>3</v>
      </c>
      <c r="H33" s="7"/>
      <c r="I33" s="7"/>
      <c r="J33" s="7"/>
      <c r="K33" s="7"/>
      <c r="L33" s="7">
        <v>3</v>
      </c>
      <c r="M33" s="7"/>
      <c r="N33" s="7"/>
      <c r="O33" s="7"/>
      <c r="P33" s="7"/>
    </row>
    <row r="34" spans="2:16" s="1" customFormat="1" x14ac:dyDescent="0.35">
      <c r="B34" s="62" t="s">
        <v>79</v>
      </c>
      <c r="C34" s="36" t="s">
        <v>52</v>
      </c>
      <c r="D34" s="46">
        <v>3</v>
      </c>
      <c r="E34" s="29"/>
      <c r="F34" s="4"/>
      <c r="G34" s="6">
        <v>3</v>
      </c>
      <c r="H34" s="7"/>
      <c r="I34" s="7"/>
      <c r="J34" s="7"/>
      <c r="K34" s="7"/>
      <c r="L34" s="7">
        <v>3</v>
      </c>
      <c r="M34" s="7"/>
      <c r="N34" s="7"/>
      <c r="O34" s="7"/>
      <c r="P34" s="7"/>
    </row>
    <row r="35" spans="2:16" s="1" customFormat="1" x14ac:dyDescent="0.35">
      <c r="B35" s="47"/>
      <c r="C35" s="48" t="s">
        <v>105</v>
      </c>
      <c r="D35" s="49">
        <f>SUM(D29:D34)</f>
        <v>17</v>
      </c>
      <c r="E35" s="30"/>
      <c r="F35" s="4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2:16" s="1" customFormat="1" x14ac:dyDescent="0.35">
      <c r="B36" s="5" t="s">
        <v>114</v>
      </c>
      <c r="F36" s="4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2:16" s="1" customFormat="1" x14ac:dyDescent="0.35">
      <c r="B37" s="37" t="s">
        <v>82</v>
      </c>
      <c r="C37" s="32" t="s">
        <v>18</v>
      </c>
      <c r="D37" s="10">
        <v>2</v>
      </c>
      <c r="E37" s="29"/>
      <c r="F37" s="4"/>
      <c r="G37" s="7">
        <v>2</v>
      </c>
      <c r="H37" s="7"/>
      <c r="I37" s="7"/>
      <c r="J37" s="7"/>
      <c r="K37" s="7"/>
      <c r="L37" s="7">
        <v>2</v>
      </c>
      <c r="M37" s="7"/>
      <c r="N37" s="7"/>
      <c r="O37" s="7"/>
      <c r="P37" s="7"/>
    </row>
    <row r="38" spans="2:16" s="1" customFormat="1" x14ac:dyDescent="0.35">
      <c r="B38" s="35" t="s">
        <v>34</v>
      </c>
      <c r="C38" s="31" t="s">
        <v>108</v>
      </c>
      <c r="D38" s="12">
        <v>3</v>
      </c>
      <c r="E38" s="29"/>
      <c r="F38" s="4"/>
      <c r="G38" s="7">
        <v>3</v>
      </c>
      <c r="H38" s="7"/>
      <c r="I38" s="7"/>
      <c r="J38" s="7"/>
      <c r="K38" s="7"/>
      <c r="L38" s="7">
        <v>3</v>
      </c>
      <c r="M38" s="7"/>
      <c r="N38" s="7"/>
      <c r="O38" s="7"/>
      <c r="P38" s="7"/>
    </row>
    <row r="39" spans="2:16" s="1" customFormat="1" x14ac:dyDescent="0.35">
      <c r="B39" s="45" t="s">
        <v>84</v>
      </c>
      <c r="C39" s="31" t="s">
        <v>20</v>
      </c>
      <c r="D39" s="46">
        <v>3</v>
      </c>
      <c r="E39" s="29"/>
      <c r="F39" s="4"/>
      <c r="G39" s="7">
        <v>3</v>
      </c>
      <c r="H39" s="7"/>
      <c r="I39" s="7"/>
      <c r="J39" s="7"/>
      <c r="K39" s="7"/>
      <c r="L39" s="7">
        <v>3</v>
      </c>
      <c r="M39" s="7"/>
      <c r="N39" s="7"/>
      <c r="O39" s="7"/>
      <c r="P39" s="7"/>
    </row>
    <row r="40" spans="2:16" s="1" customFormat="1" x14ac:dyDescent="0.35">
      <c r="B40" s="15" t="s">
        <v>31</v>
      </c>
      <c r="C40" s="31" t="s">
        <v>25</v>
      </c>
      <c r="D40" s="12">
        <v>3</v>
      </c>
      <c r="E40" s="29"/>
      <c r="F40" s="4"/>
      <c r="G40" s="7">
        <v>3</v>
      </c>
      <c r="H40" s="7"/>
      <c r="I40" s="7"/>
      <c r="J40" s="7"/>
      <c r="K40" s="7"/>
      <c r="L40" s="7">
        <v>3</v>
      </c>
      <c r="M40" s="7"/>
      <c r="N40" s="7"/>
      <c r="O40" s="7"/>
      <c r="P40" s="7"/>
    </row>
    <row r="41" spans="2:16" s="1" customFormat="1" x14ac:dyDescent="0.35">
      <c r="B41" s="45" t="s">
        <v>129</v>
      </c>
      <c r="C41" s="31" t="s">
        <v>86</v>
      </c>
      <c r="D41" s="46">
        <v>3</v>
      </c>
      <c r="E41" s="29"/>
      <c r="F41" s="4"/>
      <c r="G41" s="7">
        <v>3</v>
      </c>
      <c r="H41" s="7"/>
      <c r="I41" s="7"/>
      <c r="J41" s="7"/>
      <c r="K41" s="7"/>
      <c r="L41" s="7">
        <v>3</v>
      </c>
      <c r="M41" s="7"/>
      <c r="N41" s="7"/>
      <c r="O41" s="7"/>
      <c r="P41" s="7"/>
    </row>
    <row r="42" spans="2:16" s="1" customFormat="1" x14ac:dyDescent="0.35">
      <c r="B42" s="33" t="s">
        <v>97</v>
      </c>
      <c r="C42" s="31" t="s">
        <v>131</v>
      </c>
      <c r="D42" s="12">
        <v>3</v>
      </c>
      <c r="E42" s="29"/>
      <c r="F42" s="4"/>
      <c r="G42" s="7">
        <v>3</v>
      </c>
      <c r="H42" s="7"/>
      <c r="I42" s="7"/>
      <c r="J42" s="7"/>
      <c r="K42" s="7"/>
      <c r="L42" s="7">
        <v>3</v>
      </c>
      <c r="M42" s="7"/>
      <c r="N42" s="7"/>
      <c r="O42" s="7"/>
      <c r="P42" s="7"/>
    </row>
    <row r="43" spans="2:16" s="1" customFormat="1" x14ac:dyDescent="0.35">
      <c r="B43" s="16"/>
      <c r="C43" s="17" t="s">
        <v>105</v>
      </c>
      <c r="D43" s="18">
        <f>SUM(D37:D42)</f>
        <v>17</v>
      </c>
      <c r="E43" s="30"/>
      <c r="F43" s="4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2:16" s="1" customFormat="1" x14ac:dyDescent="0.35">
      <c r="B44" s="5" t="s">
        <v>116</v>
      </c>
      <c r="F44" s="4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2:16" s="1" customFormat="1" x14ac:dyDescent="0.35">
      <c r="B45" s="15" t="s">
        <v>88</v>
      </c>
      <c r="C45" s="31" t="s">
        <v>26</v>
      </c>
      <c r="D45" s="12">
        <v>3</v>
      </c>
      <c r="E45" s="29"/>
      <c r="F45" s="4"/>
      <c r="G45" s="7">
        <v>3</v>
      </c>
      <c r="H45" s="7"/>
      <c r="I45" s="7"/>
      <c r="J45" s="7"/>
      <c r="K45" s="7"/>
      <c r="L45" s="7"/>
      <c r="M45" s="7">
        <v>3</v>
      </c>
      <c r="N45" s="7"/>
      <c r="O45" s="7"/>
      <c r="P45" s="7"/>
    </row>
    <row r="46" spans="2:16" s="1" customFormat="1" x14ac:dyDescent="0.35">
      <c r="B46" s="15" t="s">
        <v>89</v>
      </c>
      <c r="C46" s="31" t="s">
        <v>27</v>
      </c>
      <c r="D46" s="12">
        <v>3</v>
      </c>
      <c r="E46" s="29"/>
      <c r="F46" s="4"/>
      <c r="G46" s="7">
        <v>3</v>
      </c>
      <c r="H46" s="7"/>
      <c r="I46" s="7"/>
      <c r="J46" s="7"/>
      <c r="K46" s="7"/>
      <c r="L46" s="7"/>
      <c r="M46" s="7">
        <v>3</v>
      </c>
      <c r="N46" s="7"/>
      <c r="O46" s="7"/>
      <c r="P46" s="7"/>
    </row>
    <row r="47" spans="2:16" s="1" customFormat="1" x14ac:dyDescent="0.35">
      <c r="B47" s="15" t="s">
        <v>90</v>
      </c>
      <c r="C47" s="31" t="s">
        <v>40</v>
      </c>
      <c r="D47" s="12">
        <v>3</v>
      </c>
      <c r="E47" s="29"/>
      <c r="F47" s="4"/>
      <c r="G47" s="7">
        <v>3</v>
      </c>
      <c r="H47" s="7"/>
      <c r="I47" s="7"/>
      <c r="J47" s="7"/>
      <c r="K47" s="7"/>
      <c r="L47" s="7"/>
      <c r="M47" s="7">
        <v>3</v>
      </c>
      <c r="N47" s="7"/>
      <c r="O47" s="7"/>
      <c r="P47" s="7"/>
    </row>
    <row r="48" spans="2:16" s="1" customFormat="1" x14ac:dyDescent="0.35">
      <c r="B48" s="33" t="s">
        <v>117</v>
      </c>
      <c r="C48" s="31" t="s">
        <v>35</v>
      </c>
      <c r="D48" s="12">
        <v>3</v>
      </c>
      <c r="E48" s="29"/>
      <c r="F48" s="4"/>
      <c r="G48" s="7">
        <v>3</v>
      </c>
      <c r="H48" s="7"/>
      <c r="I48" s="7"/>
      <c r="J48" s="7"/>
      <c r="K48" s="7"/>
      <c r="L48" s="7"/>
      <c r="M48" s="7">
        <v>3</v>
      </c>
      <c r="N48" s="7"/>
      <c r="O48" s="7"/>
      <c r="P48" s="7"/>
    </row>
    <row r="49" spans="2:16" s="1" customFormat="1" x14ac:dyDescent="0.35">
      <c r="B49" s="15" t="s">
        <v>87</v>
      </c>
      <c r="C49" s="31" t="s">
        <v>53</v>
      </c>
      <c r="D49" s="12">
        <v>3</v>
      </c>
      <c r="E49" s="29"/>
      <c r="F49" s="4"/>
      <c r="G49" s="7">
        <v>3</v>
      </c>
      <c r="H49" s="7"/>
      <c r="I49" s="7"/>
      <c r="J49" s="7"/>
      <c r="K49" s="7"/>
      <c r="L49" s="7"/>
      <c r="M49" s="7">
        <v>3</v>
      </c>
      <c r="N49" s="7"/>
      <c r="O49" s="7"/>
      <c r="P49" s="7"/>
    </row>
    <row r="50" spans="2:16" s="1" customFormat="1" x14ac:dyDescent="0.35">
      <c r="B50" s="15" t="s">
        <v>94</v>
      </c>
      <c r="C50" s="31" t="s">
        <v>37</v>
      </c>
      <c r="D50" s="12">
        <v>2</v>
      </c>
      <c r="E50" s="29"/>
      <c r="F50" s="4"/>
      <c r="G50" s="7">
        <v>2</v>
      </c>
      <c r="H50" s="7"/>
      <c r="I50" s="7"/>
      <c r="J50" s="7"/>
      <c r="K50" s="7"/>
      <c r="L50" s="7"/>
      <c r="M50" s="7">
        <v>2</v>
      </c>
      <c r="N50" s="7"/>
      <c r="O50" s="7"/>
      <c r="P50" s="7"/>
    </row>
    <row r="51" spans="2:16" s="1" customFormat="1" x14ac:dyDescent="0.35">
      <c r="B51" s="16" t="s">
        <v>95</v>
      </c>
      <c r="C51" s="17" t="s">
        <v>105</v>
      </c>
      <c r="D51" s="18">
        <f>SUM(D45:D50)</f>
        <v>17</v>
      </c>
      <c r="E51" s="30"/>
      <c r="F51" s="4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2:16" s="1" customFormat="1" x14ac:dyDescent="0.35">
      <c r="B52" s="5" t="s">
        <v>119</v>
      </c>
      <c r="F52" s="4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2:16" s="1" customFormat="1" x14ac:dyDescent="0.35">
      <c r="B53" s="8" t="s">
        <v>130</v>
      </c>
      <c r="C53" s="9" t="s">
        <v>128</v>
      </c>
      <c r="D53" s="10">
        <v>3</v>
      </c>
      <c r="E53" s="29"/>
      <c r="F53" s="4"/>
      <c r="G53" s="6">
        <v>3</v>
      </c>
      <c r="H53" s="7"/>
      <c r="I53" s="7"/>
      <c r="J53" s="7"/>
      <c r="K53" s="7"/>
      <c r="L53" s="7"/>
      <c r="M53" s="7"/>
      <c r="N53" s="7">
        <v>3</v>
      </c>
      <c r="O53" s="7"/>
      <c r="P53" s="7"/>
    </row>
    <row r="54" spans="2:16" s="1" customFormat="1" x14ac:dyDescent="0.35">
      <c r="B54" s="58" t="s">
        <v>96</v>
      </c>
      <c r="C54" s="31" t="s">
        <v>39</v>
      </c>
      <c r="D54" s="12">
        <v>3</v>
      </c>
      <c r="E54" s="29"/>
      <c r="F54" s="4"/>
      <c r="G54" s="7">
        <v>3</v>
      </c>
      <c r="H54" s="7"/>
      <c r="I54" s="7"/>
      <c r="J54" s="7"/>
      <c r="K54" s="7"/>
      <c r="L54" s="7"/>
      <c r="M54" s="7"/>
      <c r="N54" s="7">
        <v>3</v>
      </c>
      <c r="O54" s="7"/>
      <c r="P54" s="7"/>
    </row>
    <row r="55" spans="2:16" s="1" customFormat="1" x14ac:dyDescent="0.35">
      <c r="B55" s="33" t="s">
        <v>92</v>
      </c>
      <c r="C55" s="1" t="s">
        <v>30</v>
      </c>
      <c r="D55" s="12">
        <v>3</v>
      </c>
      <c r="E55" s="29"/>
      <c r="F55" s="4"/>
      <c r="G55" s="6">
        <v>3</v>
      </c>
      <c r="H55" s="7"/>
      <c r="I55" s="7"/>
      <c r="J55" s="7"/>
      <c r="K55" s="7"/>
      <c r="L55" s="7"/>
      <c r="M55" s="7"/>
      <c r="N55" s="7">
        <v>3</v>
      </c>
      <c r="O55" s="7"/>
      <c r="P55" s="7"/>
    </row>
    <row r="56" spans="2:16" s="1" customFormat="1" x14ac:dyDescent="0.35">
      <c r="B56" s="15" t="s">
        <v>93</v>
      </c>
      <c r="C56" s="31" t="s">
        <v>32</v>
      </c>
      <c r="D56" s="12">
        <v>3</v>
      </c>
      <c r="E56" s="29"/>
      <c r="F56" s="4"/>
      <c r="G56" s="7">
        <v>3</v>
      </c>
      <c r="H56" s="7"/>
      <c r="I56" s="7"/>
      <c r="J56" s="7"/>
      <c r="K56" s="7"/>
      <c r="L56" s="7"/>
      <c r="M56" s="7"/>
      <c r="N56" s="7">
        <v>3</v>
      </c>
      <c r="O56" s="7"/>
      <c r="P56" s="7"/>
    </row>
    <row r="57" spans="2:16" s="1" customFormat="1" x14ac:dyDescent="0.35">
      <c r="B57" s="33" t="s">
        <v>98</v>
      </c>
      <c r="C57" s="31" t="s">
        <v>49</v>
      </c>
      <c r="D57" s="12">
        <v>3</v>
      </c>
      <c r="E57" s="29"/>
      <c r="F57" s="4"/>
      <c r="G57" s="7">
        <v>3</v>
      </c>
      <c r="H57" s="7"/>
      <c r="I57" s="7"/>
      <c r="J57" s="7"/>
      <c r="K57" s="7"/>
      <c r="L57" s="7"/>
      <c r="M57" s="7"/>
      <c r="N57" s="7">
        <v>3</v>
      </c>
      <c r="O57" s="7"/>
      <c r="P57" s="7"/>
    </row>
    <row r="58" spans="2:16" s="1" customFormat="1" x14ac:dyDescent="0.35">
      <c r="B58" s="33" t="s">
        <v>95</v>
      </c>
      <c r="C58" s="31" t="s">
        <v>38</v>
      </c>
      <c r="D58" s="12">
        <v>2</v>
      </c>
      <c r="E58" s="29"/>
      <c r="F58" s="4"/>
      <c r="G58" s="7">
        <v>2</v>
      </c>
      <c r="H58" s="7"/>
      <c r="I58" s="7"/>
      <c r="J58" s="7"/>
      <c r="K58" s="7"/>
      <c r="L58" s="7"/>
      <c r="M58" s="7"/>
      <c r="N58" s="7">
        <v>2</v>
      </c>
      <c r="O58" s="7"/>
      <c r="P58" s="7"/>
    </row>
    <row r="59" spans="2:16" s="1" customFormat="1" x14ac:dyDescent="0.35">
      <c r="B59" s="16"/>
      <c r="C59" s="17" t="s">
        <v>105</v>
      </c>
      <c r="D59" s="18">
        <f>SUM(D53:D58)</f>
        <v>17</v>
      </c>
      <c r="E59" s="30"/>
      <c r="F59" s="4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2:16" s="1" customFormat="1" x14ac:dyDescent="0.35">
      <c r="B60" s="5" t="s">
        <v>120</v>
      </c>
      <c r="F60" s="4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2:16" s="1" customFormat="1" x14ac:dyDescent="0.35">
      <c r="B61" s="8" t="s">
        <v>99</v>
      </c>
      <c r="C61" s="9" t="s">
        <v>48</v>
      </c>
      <c r="D61" s="10">
        <v>3</v>
      </c>
      <c r="E61" s="29"/>
      <c r="F61" s="4"/>
      <c r="G61" s="6">
        <v>3</v>
      </c>
      <c r="H61" s="7"/>
      <c r="I61" s="7"/>
      <c r="J61" s="7"/>
      <c r="K61" s="7"/>
      <c r="L61" s="7"/>
      <c r="M61" s="7"/>
      <c r="N61" s="7"/>
      <c r="O61" s="7"/>
      <c r="P61" s="7">
        <v>3</v>
      </c>
    </row>
    <row r="62" spans="2:16" s="1" customFormat="1" x14ac:dyDescent="0.35">
      <c r="B62" s="33" t="s">
        <v>95</v>
      </c>
      <c r="C62" s="31" t="s">
        <v>38</v>
      </c>
      <c r="D62" s="12">
        <v>2</v>
      </c>
      <c r="E62" s="29"/>
      <c r="F62" s="4"/>
      <c r="G62" s="7">
        <v>2</v>
      </c>
      <c r="H62" s="7"/>
      <c r="I62" s="7"/>
      <c r="J62" s="7"/>
      <c r="K62" s="7"/>
      <c r="L62" s="7"/>
      <c r="M62" s="7"/>
      <c r="N62" s="7"/>
      <c r="O62" s="7"/>
      <c r="P62" s="7">
        <v>2</v>
      </c>
    </row>
    <row r="63" spans="2:16" s="1" customFormat="1" x14ac:dyDescent="0.35">
      <c r="B63" s="33" t="s">
        <v>95</v>
      </c>
      <c r="C63" s="31" t="s">
        <v>38</v>
      </c>
      <c r="D63" s="12">
        <v>2</v>
      </c>
      <c r="E63" s="29"/>
      <c r="F63" s="4"/>
      <c r="G63" s="7">
        <v>2</v>
      </c>
      <c r="H63" s="7"/>
      <c r="I63" s="7"/>
      <c r="J63" s="7"/>
      <c r="K63" s="7"/>
      <c r="L63" s="7"/>
      <c r="M63" s="7"/>
      <c r="N63" s="7"/>
      <c r="O63" s="7"/>
      <c r="P63" s="7">
        <v>2</v>
      </c>
    </row>
    <row r="64" spans="2:16" s="1" customFormat="1" x14ac:dyDescent="0.35">
      <c r="B64" s="33" t="s">
        <v>95</v>
      </c>
      <c r="C64" s="31" t="s">
        <v>38</v>
      </c>
      <c r="D64" s="12">
        <v>2</v>
      </c>
      <c r="E64" s="29"/>
      <c r="F64" s="4"/>
      <c r="G64" s="7">
        <v>2</v>
      </c>
      <c r="H64" s="7"/>
      <c r="I64" s="7"/>
      <c r="J64" s="7"/>
      <c r="K64" s="7"/>
      <c r="L64" s="7"/>
      <c r="M64" s="7"/>
      <c r="N64" s="7"/>
      <c r="O64" s="7"/>
      <c r="P64" s="7">
        <v>2</v>
      </c>
    </row>
    <row r="65" spans="1:19" s="1" customFormat="1" x14ac:dyDescent="0.35">
      <c r="B65" s="15" t="s">
        <v>45</v>
      </c>
      <c r="C65" s="31" t="s">
        <v>46</v>
      </c>
      <c r="D65" s="12">
        <v>3</v>
      </c>
      <c r="E65" s="29"/>
      <c r="F65" s="4"/>
      <c r="G65" s="7">
        <v>3</v>
      </c>
      <c r="H65" s="7"/>
      <c r="I65" s="7"/>
      <c r="J65" s="7"/>
      <c r="K65" s="7"/>
      <c r="L65" s="7"/>
      <c r="M65" s="7"/>
      <c r="N65" s="7"/>
      <c r="O65" s="7"/>
      <c r="P65" s="7">
        <v>3</v>
      </c>
    </row>
    <row r="66" spans="1:19" s="1" customFormat="1" x14ac:dyDescent="0.35">
      <c r="B66" s="21" t="s">
        <v>11</v>
      </c>
      <c r="C66" s="1" t="s">
        <v>12</v>
      </c>
      <c r="D66" s="20">
        <v>3</v>
      </c>
      <c r="E66" s="29"/>
      <c r="F66" s="4"/>
      <c r="G66" s="7">
        <v>3</v>
      </c>
      <c r="H66" s="7"/>
      <c r="I66" s="7"/>
      <c r="J66" s="7"/>
      <c r="K66" s="7"/>
      <c r="L66" s="7"/>
      <c r="M66" s="7"/>
      <c r="N66" s="7"/>
      <c r="O66" s="7"/>
      <c r="P66" s="7">
        <v>3</v>
      </c>
    </row>
    <row r="67" spans="1:19" s="1" customFormat="1" x14ac:dyDescent="0.35">
      <c r="B67" s="21" t="s">
        <v>11</v>
      </c>
      <c r="C67" s="1" t="s">
        <v>12</v>
      </c>
      <c r="D67" s="20">
        <v>3</v>
      </c>
      <c r="E67" s="29"/>
      <c r="F67" s="4"/>
      <c r="G67" s="7">
        <v>3</v>
      </c>
      <c r="H67" s="7"/>
      <c r="I67" s="7"/>
      <c r="J67" s="7"/>
      <c r="K67" s="7"/>
      <c r="L67" s="7"/>
      <c r="M67" s="7"/>
      <c r="N67" s="7"/>
      <c r="O67" s="7"/>
      <c r="P67" s="7">
        <v>3</v>
      </c>
    </row>
    <row r="68" spans="1:19" s="1" customFormat="1" x14ac:dyDescent="0.35">
      <c r="B68" s="19"/>
      <c r="C68" s="22" t="s">
        <v>105</v>
      </c>
      <c r="D68" s="23">
        <f>SUM(D61:D67)</f>
        <v>18</v>
      </c>
      <c r="E68" s="30"/>
      <c r="F68" s="4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9" s="1" customFormat="1" x14ac:dyDescent="0.35">
      <c r="B69" s="24"/>
      <c r="F69" s="4"/>
      <c r="G69" s="25" t="s">
        <v>100</v>
      </c>
      <c r="H69" s="4"/>
      <c r="I69" s="4"/>
      <c r="J69" s="4"/>
      <c r="K69" s="4"/>
      <c r="L69" s="4"/>
      <c r="M69" s="4"/>
      <c r="N69" s="4"/>
      <c r="O69" s="4"/>
      <c r="P69" s="4"/>
    </row>
    <row r="70" spans="1:19" s="1" customFormat="1" x14ac:dyDescent="0.35">
      <c r="B70" s="26"/>
      <c r="C70" s="2" t="s">
        <v>101</v>
      </c>
      <c r="D70" s="27">
        <f>SUM(D10,D18,D27,D35,D43,D51,D59,D68)</f>
        <v>134</v>
      </c>
      <c r="E70" s="27"/>
      <c r="F70" s="4"/>
      <c r="G70" s="4">
        <f>SUM(G4:G68)</f>
        <v>134</v>
      </c>
      <c r="H70" s="4"/>
      <c r="I70" s="4">
        <f t="shared" ref="I70:P70" si="0">SUM(I4:I68)</f>
        <v>15</v>
      </c>
      <c r="J70" s="4">
        <f t="shared" si="0"/>
        <v>15</v>
      </c>
      <c r="K70" s="4">
        <f t="shared" si="0"/>
        <v>18</v>
      </c>
      <c r="L70" s="4">
        <f t="shared" si="0"/>
        <v>34</v>
      </c>
      <c r="M70" s="4">
        <f t="shared" si="0"/>
        <v>17</v>
      </c>
      <c r="N70" s="4">
        <f t="shared" si="0"/>
        <v>17</v>
      </c>
      <c r="O70" s="4">
        <f t="shared" si="0"/>
        <v>0</v>
      </c>
      <c r="P70" s="4">
        <f t="shared" si="0"/>
        <v>18</v>
      </c>
      <c r="Q70" s="4">
        <f>SUM(I70:P70)</f>
        <v>134</v>
      </c>
    </row>
    <row r="71" spans="1:19" s="1" customFormat="1" x14ac:dyDescent="0.35">
      <c r="B71" s="2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9" s="1" customFormat="1" x14ac:dyDescent="0.35">
      <c r="B72" s="26" t="s">
        <v>50</v>
      </c>
      <c r="C72" s="28" t="s">
        <v>54</v>
      </c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9" s="1" customFormat="1" x14ac:dyDescent="0.35">
      <c r="B73" s="26"/>
      <c r="C73" s="28" t="s">
        <v>124</v>
      </c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9" s="1" customFormat="1" x14ac:dyDescent="0.35">
      <c r="B74" s="26"/>
      <c r="C74" s="1" t="s">
        <v>125</v>
      </c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9" s="1" customFormat="1" x14ac:dyDescent="0.35">
      <c r="B75" s="2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9" s="4" customFormat="1" x14ac:dyDescent="0.35">
      <c r="A76" s="1"/>
      <c r="B76" s="26"/>
      <c r="C76" s="1"/>
      <c r="D76" s="1"/>
      <c r="E76" s="1"/>
      <c r="Q76" s="1"/>
      <c r="R76" s="1"/>
      <c r="S76" s="1"/>
    </row>
    <row r="77" spans="1:19" s="4" customFormat="1" x14ac:dyDescent="0.35">
      <c r="A77" s="1"/>
      <c r="B77" s="26"/>
      <c r="C77" s="1"/>
      <c r="D77" s="1"/>
      <c r="E77" s="1"/>
      <c r="Q77" s="1"/>
      <c r="R77" s="1"/>
      <c r="S77" s="1"/>
    </row>
    <row r="78" spans="1:19" s="4" customFormat="1" x14ac:dyDescent="0.35">
      <c r="A78" s="1"/>
      <c r="B78" s="26"/>
      <c r="C78" s="1"/>
      <c r="D78" s="1"/>
      <c r="E78" s="1"/>
      <c r="Q78" s="1"/>
      <c r="R78" s="1"/>
      <c r="S78" s="1"/>
    </row>
    <row r="79" spans="1:19" s="4" customFormat="1" x14ac:dyDescent="0.35">
      <c r="A79" s="1"/>
      <c r="B79" s="26"/>
      <c r="C79" s="1"/>
      <c r="D79" s="1"/>
      <c r="E79" s="1"/>
      <c r="Q79" s="1"/>
      <c r="R79" s="1"/>
      <c r="S79" s="1"/>
    </row>
    <row r="80" spans="1:19" s="4" customFormat="1" x14ac:dyDescent="0.35">
      <c r="A80" s="1"/>
      <c r="B80" s="26"/>
      <c r="C80" s="1"/>
      <c r="D80" s="1"/>
      <c r="E80" s="1"/>
      <c r="Q80" s="1"/>
      <c r="R80" s="1"/>
      <c r="S80" s="1"/>
    </row>
    <row r="81" spans="1:19" s="4" customFormat="1" x14ac:dyDescent="0.35">
      <c r="A81" s="1"/>
      <c r="B81" s="26"/>
      <c r="C81" s="1"/>
      <c r="D81" s="1"/>
      <c r="E81" s="1"/>
      <c r="Q81" s="1"/>
      <c r="R81" s="1"/>
      <c r="S81" s="1"/>
    </row>
    <row r="82" spans="1:19" s="4" customFormat="1" x14ac:dyDescent="0.35">
      <c r="A82" s="1"/>
      <c r="B82" s="26"/>
      <c r="C82" s="1"/>
      <c r="D82" s="1"/>
      <c r="E82" s="1"/>
      <c r="Q82" s="1"/>
      <c r="R82" s="1"/>
      <c r="S82" s="1"/>
    </row>
    <row r="83" spans="1:19" s="4" customFormat="1" x14ac:dyDescent="0.35">
      <c r="A83" s="1"/>
      <c r="B83" s="26"/>
      <c r="C83" s="1"/>
      <c r="D83" s="1"/>
      <c r="E83" s="1"/>
      <c r="Q83" s="1"/>
      <c r="R83" s="1"/>
      <c r="S83" s="1"/>
    </row>
    <row r="84" spans="1:19" s="4" customFormat="1" x14ac:dyDescent="0.35">
      <c r="A84" s="1"/>
      <c r="B84" s="26"/>
      <c r="C84" s="1"/>
      <c r="D84" s="1"/>
      <c r="E84" s="1"/>
      <c r="Q84" s="1"/>
      <c r="R84" s="1"/>
      <c r="S84" s="1"/>
    </row>
  </sheetData>
  <mergeCells count="1">
    <mergeCell ref="I2:P2"/>
  </mergeCells>
  <hyperlinks>
    <hyperlink ref="B39" r:id="rId1" display="https://catalogo.uniandes.edu.co/2017/Catalogo/Cursos/IELE/2000/IELE-2002" xr:uid="{15066E18-AD6C-4C04-A01D-BDAA7BA6CC0C}"/>
    <hyperlink ref="B29" r:id="rId2" display="https://catalogo.uniandes.edu.co/2017/Catalogo/Cursos/IELE/2000/IELE-2206" xr:uid="{B20650D4-8120-483B-9329-D2102116B74A}"/>
    <hyperlink ref="B30" r:id="rId3" display="https://catalogo.uniandes.edu.co/2017/Catalogo/Cursos/IELE/2000/IELE-2500" xr:uid="{5E8F8E19-D70C-4618-8950-369B475841C3}"/>
    <hyperlink ref="B33" r:id="rId4" display="https://catalogo.uniandes.edu.co/2017/Catalogo/Cursos/IIND/2000/IIND-2106" xr:uid="{B350D2D3-7900-4563-8D99-741AA0F43AB8}"/>
    <hyperlink ref="B46" r:id="rId5" display="https://catalogo.uniandes.edu.co/2017/Catalogo/Cursos/IELE/2000/IELE-2009" xr:uid="{7B30DAE7-B4CF-4D7C-906C-E3A876714A70}"/>
    <hyperlink ref="B45" r:id="rId6" display="https://catalogo.uniandes.edu.co/2017/Catalogo/Cursos/IELE/2000/IELE-2300" xr:uid="{47F2EE8A-3FF2-4F4A-B88F-CDA22EE92D56}"/>
    <hyperlink ref="B40" r:id="rId7" display="https://catalogo.uniandes.edu.co/2017/Catalogo/Cursos/IELE/2000/IELE-2402" xr:uid="{215D24C8-49EA-4DC6-82E0-174F3C340465}"/>
    <hyperlink ref="B37" r:id="rId8" display="https://catalogo.uniandes.edu.co/2017/Catalogo/Cursos/IIND/2000/IIND-2401" xr:uid="{CA69AD68-8E86-40E0-8277-C77434427C57}"/>
    <hyperlink ref="B56" r:id="rId9" display="https://catalogo.uniandes.edu.co/2017/Catalogo/Cursos/IELE/3000/IELE-3006" xr:uid="{5F92A57F-FC25-4510-96AF-004415879AF5}"/>
    <hyperlink ref="B65" r:id="rId10" display="https://catalogo.uniandes.edu.co/2017/Catalogo/Cursos/GENERALES-Y-REQUISITOS/CLE" xr:uid="{F1868598-1CC6-4221-BA27-D3AC4012C9F4}"/>
    <hyperlink ref="B67" r:id="rId11" display="https://catalogo.uniandes.edu.co/2017/Catalogo/Cursos/GENERALES-Y-REQUISITOS/CBU" xr:uid="{E28500F5-9D42-4F78-B968-D1A7B78F153D}"/>
    <hyperlink ref="B47" r:id="rId12" display="https://catalogo.uniandes.edu.co/2017/Catalogo/Cursos/IELE/2000/IELE-2010" xr:uid="{A05788F7-DA4B-4254-AE05-89295D0EF5DC}"/>
    <hyperlink ref="B31" r:id="rId13" display="https://catalogo.uniandes.edu.co/2017/Catalogo/Cursos/MATE/1000/MATE-1207" xr:uid="{ED4F6026-58C7-4729-B6F9-B954994A28A4}"/>
    <hyperlink ref="B32" r:id="rId14" display="https://catalogo.uniandes.edu.co/2017/Catalogo/Cursos/MATE/2000/MATE-2210" xr:uid="{D9FF98B7-58BC-4F8D-B805-476CB7A179A2}"/>
    <hyperlink ref="B26" r:id="rId15" display="https://catalogo.uniandes.edu.co/2017/Catalogo/Cursos/DERE/1000/DERE-1300" xr:uid="{458821DD-8673-487D-9DAE-F73817D7EECA}"/>
    <hyperlink ref="B15" r:id="rId16" display="https://catalogo.uniandes.edu.co/2017/Catalogo/Cursos/IELE/Generales/XXXX-Electiva-en-Fundamentos-de-Ingenier-237-a-3" xr:uid="{35796A30-FE3C-4E68-BBD5-0BF2C8995814}"/>
    <hyperlink ref="B24" r:id="rId17" display="https://catalogo.uniandes.edu.co/2017/Catalogo/Cursos/MATE/1000/MATE-1214" xr:uid="{281D54AF-AB5F-476A-B475-DC2FF0F6A810}"/>
    <hyperlink ref="B23" r:id="rId18" display="https://catalogo.uniandes.edu.co/2017/Catalogo/Cursos/IELE/2000/IELE-2010" xr:uid="{44691F7B-6614-4CF5-B8FF-0B7670FAC396}"/>
    <hyperlink ref="B16" r:id="rId19" display="https://catalogo.uniandes.edu.co/2017/Catalogo/Cursos/GENERALES-Y-REQUISITOS/CLE" xr:uid="{73BCFCDD-67C3-4F02-A1EA-F955F26CD78B}"/>
    <hyperlink ref="B6" r:id="rId20" display="http://uniandes.smartcatalogiq.com/Catalogo-general-2022/Catalogo/Cursos/ISIS/1000/ISIS-1221" xr:uid="{A431DB84-0CF5-4F25-9A02-767C99DBEF61}"/>
    <hyperlink ref="B66" r:id="rId21" display="https://catalogo.uniandes.edu.co/2017/Catalogo/Cursos/GENERALES-Y-REQUISITOS/CBU" xr:uid="{3EB8DAEB-DD0B-4939-BA71-D56524B599C4}"/>
    <hyperlink ref="B17" r:id="rId22" display="https://catalogo.uniandes.edu.co/2017/Catalogo/Cursos/GENERALES-Y-REQUISITOS/CLE" xr:uid="{B779C3FD-857A-4747-8BDA-1FE99E0E9C4B}"/>
    <hyperlink ref="B50" r:id="rId23" display="https://catalogo.uniandes.edu.co/2017/Catalogo/Cursos/IELE/3000/IELE-3110" xr:uid="{10A2A75B-0DC9-4F47-943B-5B996D43EE85}"/>
  </hyperlinks>
  <pageMargins left="0.7" right="0.7" top="0.75" bottom="0.75" header="0.3" footer="0.3"/>
  <pageSetup orientation="portrait"/>
  <legacy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5275-8BF5-4ABA-9089-E00695F013AF}">
  <dimension ref="A1:BR89"/>
  <sheetViews>
    <sheetView workbookViewId="0">
      <selection activeCell="C83" sqref="C83"/>
    </sheetView>
  </sheetViews>
  <sheetFormatPr baseColWidth="10" defaultColWidth="11.453125" defaultRowHeight="14.5" x14ac:dyDescent="0.35"/>
  <cols>
    <col min="1" max="1" width="1.81640625" style="1" customWidth="1"/>
    <col min="2" max="2" width="14.81640625" style="26" customWidth="1"/>
    <col min="3" max="3" width="48.7265625" style="1" customWidth="1"/>
    <col min="4" max="4" width="10.1796875" style="1" customWidth="1"/>
    <col min="5" max="5" width="1.26953125" style="1" customWidth="1"/>
    <col min="6" max="6" width="2.1796875" style="4" customWidth="1"/>
    <col min="7" max="7" width="12" style="4" bestFit="1" customWidth="1"/>
    <col min="8" max="8" width="2.54296875" style="4" customWidth="1"/>
    <col min="9" max="9" width="6.453125" style="4" bestFit="1" customWidth="1"/>
    <col min="10" max="12" width="6" style="4" bestFit="1" customWidth="1"/>
    <col min="13" max="13" width="6.453125" style="4" bestFit="1" customWidth="1"/>
    <col min="14" max="17" width="6" style="4" bestFit="1" customWidth="1"/>
    <col min="18" max="70" width="11.453125" style="1"/>
  </cols>
  <sheetData>
    <row r="1" spans="2:17" x14ac:dyDescent="0.35">
      <c r="B1" s="3" t="s">
        <v>132</v>
      </c>
    </row>
    <row r="2" spans="2:17" x14ac:dyDescent="0.35">
      <c r="B2" s="3" t="s">
        <v>133</v>
      </c>
      <c r="I2" s="78" t="s">
        <v>56</v>
      </c>
      <c r="J2" s="79"/>
      <c r="K2" s="79"/>
      <c r="L2" s="79"/>
      <c r="M2" s="80"/>
      <c r="N2" s="80"/>
      <c r="O2" s="80"/>
      <c r="P2" s="80"/>
      <c r="Q2" s="81"/>
    </row>
    <row r="3" spans="2:17" x14ac:dyDescent="0.35">
      <c r="B3" s="5" t="s">
        <v>103</v>
      </c>
      <c r="G3" s="6" t="s">
        <v>57</v>
      </c>
      <c r="H3" s="7"/>
      <c r="I3" s="7" t="s">
        <v>58</v>
      </c>
      <c r="J3" s="7" t="s">
        <v>59</v>
      </c>
      <c r="K3" s="7" t="s">
        <v>60</v>
      </c>
      <c r="L3" s="7" t="s">
        <v>61</v>
      </c>
      <c r="M3" s="7" t="s">
        <v>62</v>
      </c>
      <c r="N3" s="7" t="s">
        <v>63</v>
      </c>
      <c r="O3" s="7" t="s">
        <v>64</v>
      </c>
      <c r="P3" s="7" t="s">
        <v>65</v>
      </c>
      <c r="Q3" s="7" t="s">
        <v>66</v>
      </c>
    </row>
    <row r="4" spans="2:17" x14ac:dyDescent="0.35">
      <c r="B4" s="8" t="s">
        <v>134</v>
      </c>
      <c r="C4" s="9" t="s">
        <v>135</v>
      </c>
      <c r="D4" s="10">
        <v>3</v>
      </c>
      <c r="E4" s="29"/>
      <c r="G4" s="7">
        <v>3</v>
      </c>
      <c r="H4" s="7"/>
      <c r="I4" s="7">
        <v>3</v>
      </c>
      <c r="J4" s="7"/>
      <c r="K4" s="7"/>
      <c r="L4" s="7"/>
      <c r="M4" s="7"/>
      <c r="N4" s="7"/>
      <c r="O4" s="7"/>
      <c r="P4" s="7"/>
      <c r="Q4" s="7"/>
    </row>
    <row r="5" spans="2:17" x14ac:dyDescent="0.35">
      <c r="B5" s="11" t="s">
        <v>68</v>
      </c>
      <c r="C5" s="1" t="s">
        <v>4</v>
      </c>
      <c r="D5" s="12">
        <v>3</v>
      </c>
      <c r="E5" s="29"/>
      <c r="G5" s="7">
        <v>3</v>
      </c>
      <c r="H5" s="7"/>
      <c r="I5" s="7">
        <v>3</v>
      </c>
      <c r="J5" s="7"/>
      <c r="K5" s="7"/>
      <c r="L5" s="7"/>
      <c r="M5" s="7"/>
      <c r="N5" s="7"/>
      <c r="O5" s="7"/>
      <c r="P5" s="7"/>
      <c r="Q5" s="7"/>
    </row>
    <row r="6" spans="2:17" x14ac:dyDescent="0.35">
      <c r="B6" s="15" t="s">
        <v>70</v>
      </c>
      <c r="C6" s="1" t="s">
        <v>6</v>
      </c>
      <c r="D6" s="12">
        <v>3</v>
      </c>
      <c r="E6" s="29"/>
      <c r="G6" s="7">
        <v>3</v>
      </c>
      <c r="H6" s="7"/>
      <c r="I6" s="7">
        <v>3</v>
      </c>
      <c r="J6" s="7"/>
      <c r="K6" s="7"/>
      <c r="L6" s="7"/>
      <c r="M6" s="7"/>
      <c r="N6" s="7"/>
      <c r="O6" s="7"/>
      <c r="P6" s="7"/>
      <c r="Q6" s="7"/>
    </row>
    <row r="7" spans="2:17" x14ac:dyDescent="0.35">
      <c r="B7" s="55" t="s">
        <v>122</v>
      </c>
      <c r="C7" s="56" t="s">
        <v>123</v>
      </c>
      <c r="D7" s="57">
        <v>3</v>
      </c>
      <c r="E7" s="29"/>
      <c r="G7" s="7">
        <v>3</v>
      </c>
      <c r="H7" s="7"/>
      <c r="I7" s="7">
        <v>3</v>
      </c>
      <c r="J7" s="7"/>
      <c r="K7" s="7"/>
      <c r="L7" s="7"/>
      <c r="M7" s="7"/>
      <c r="N7" s="7"/>
      <c r="O7" s="7"/>
      <c r="P7" s="7"/>
      <c r="Q7" s="7"/>
    </row>
    <row r="8" spans="2:17" x14ac:dyDescent="0.35">
      <c r="B8" s="15" t="s">
        <v>11</v>
      </c>
      <c r="C8" s="1" t="s">
        <v>12</v>
      </c>
      <c r="D8" s="12">
        <v>3</v>
      </c>
      <c r="E8" s="29"/>
      <c r="G8" s="7">
        <v>3</v>
      </c>
      <c r="H8" s="7"/>
      <c r="I8" s="7">
        <v>3</v>
      </c>
      <c r="J8" s="7"/>
      <c r="K8" s="7"/>
      <c r="L8" s="7"/>
      <c r="M8" s="7"/>
      <c r="N8" s="7"/>
      <c r="O8" s="7"/>
      <c r="P8" s="7"/>
      <c r="Q8" s="7"/>
    </row>
    <row r="9" spans="2:17" x14ac:dyDescent="0.35">
      <c r="B9" s="16"/>
      <c r="C9" s="17" t="s">
        <v>105</v>
      </c>
      <c r="D9" s="18">
        <f>SUM(D4:D8)</f>
        <v>15</v>
      </c>
      <c r="E9" s="30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2:17" x14ac:dyDescent="0.35">
      <c r="B10" s="5" t="s">
        <v>106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2:17" x14ac:dyDescent="0.35">
      <c r="B11" s="8" t="s">
        <v>71</v>
      </c>
      <c r="C11" s="32" t="s">
        <v>7</v>
      </c>
      <c r="D11" s="10">
        <v>1</v>
      </c>
      <c r="E11" s="29"/>
      <c r="G11" s="7">
        <v>1</v>
      </c>
      <c r="H11" s="7"/>
      <c r="I11" s="7"/>
      <c r="J11" s="7">
        <v>1</v>
      </c>
      <c r="K11" s="7"/>
      <c r="L11" s="7"/>
      <c r="M11" s="7"/>
      <c r="N11" s="7"/>
      <c r="O11" s="7"/>
      <c r="P11" s="7"/>
      <c r="Q11" s="7"/>
    </row>
    <row r="12" spans="2:17" x14ac:dyDescent="0.35">
      <c r="B12" s="33" t="s">
        <v>72</v>
      </c>
      <c r="C12" s="31" t="s">
        <v>8</v>
      </c>
      <c r="D12" s="12">
        <v>3</v>
      </c>
      <c r="E12" s="29"/>
      <c r="G12" s="7">
        <v>3</v>
      </c>
      <c r="H12" s="7"/>
      <c r="I12" s="7"/>
      <c r="J12" s="7">
        <v>3</v>
      </c>
      <c r="K12" s="7"/>
      <c r="L12" s="7"/>
      <c r="M12" s="7"/>
      <c r="N12" s="7"/>
      <c r="O12" s="7"/>
      <c r="P12" s="7"/>
      <c r="Q12" s="7"/>
    </row>
    <row r="13" spans="2:17" x14ac:dyDescent="0.35">
      <c r="B13" s="13" t="s">
        <v>69</v>
      </c>
      <c r="C13" s="1" t="s">
        <v>5</v>
      </c>
      <c r="D13" s="14">
        <v>2</v>
      </c>
      <c r="E13" s="4"/>
      <c r="G13" s="7">
        <v>2</v>
      </c>
      <c r="H13" s="7"/>
      <c r="I13" s="7"/>
      <c r="J13" s="7">
        <v>2</v>
      </c>
      <c r="K13" s="7"/>
      <c r="L13" s="7"/>
      <c r="M13" s="7"/>
      <c r="N13" s="7"/>
      <c r="O13" s="7"/>
      <c r="P13" s="7"/>
      <c r="Q13" s="7"/>
    </row>
    <row r="14" spans="2:17" x14ac:dyDescent="0.35">
      <c r="B14" s="15" t="s">
        <v>73</v>
      </c>
      <c r="C14" s="31" t="s">
        <v>9</v>
      </c>
      <c r="D14" s="12">
        <v>3</v>
      </c>
      <c r="E14" s="29"/>
      <c r="G14" s="7">
        <v>3</v>
      </c>
      <c r="H14" s="7"/>
      <c r="I14" s="7"/>
      <c r="J14" s="7">
        <v>3</v>
      </c>
      <c r="K14" s="7"/>
      <c r="L14" s="7"/>
      <c r="M14" s="7"/>
      <c r="N14" s="7"/>
      <c r="O14" s="7"/>
      <c r="P14" s="7"/>
      <c r="Q14" s="7"/>
    </row>
    <row r="15" spans="2:17" x14ac:dyDescent="0.35">
      <c r="B15" s="15" t="s">
        <v>74</v>
      </c>
      <c r="C15" s="31" t="s">
        <v>10</v>
      </c>
      <c r="D15" s="12">
        <v>3</v>
      </c>
      <c r="E15" s="29"/>
      <c r="G15" s="7">
        <v>3</v>
      </c>
      <c r="H15" s="7"/>
      <c r="I15" s="7"/>
      <c r="J15" s="7">
        <v>3</v>
      </c>
      <c r="K15" s="7"/>
      <c r="L15" s="7"/>
      <c r="M15" s="7"/>
      <c r="N15" s="7"/>
      <c r="O15" s="7"/>
      <c r="P15" s="7"/>
      <c r="Q15" s="7"/>
    </row>
    <row r="16" spans="2:17" x14ac:dyDescent="0.35">
      <c r="B16" s="33" t="s">
        <v>75</v>
      </c>
      <c r="C16" s="1" t="s">
        <v>51</v>
      </c>
      <c r="D16" s="12">
        <v>3</v>
      </c>
      <c r="E16" s="29"/>
      <c r="G16" s="7">
        <v>3</v>
      </c>
      <c r="H16" s="7"/>
      <c r="I16" s="7"/>
      <c r="J16" s="7">
        <v>3</v>
      </c>
      <c r="K16" s="7"/>
      <c r="L16" s="7"/>
      <c r="M16" s="7"/>
      <c r="N16" s="7"/>
      <c r="O16" s="7"/>
      <c r="P16" s="7"/>
      <c r="Q16" s="7"/>
    </row>
    <row r="17" spans="2:17" x14ac:dyDescent="0.35">
      <c r="B17" s="15" t="s">
        <v>11</v>
      </c>
      <c r="C17" s="1" t="s">
        <v>12</v>
      </c>
      <c r="D17" s="12">
        <v>3</v>
      </c>
      <c r="E17" s="29"/>
      <c r="G17" s="7">
        <v>3</v>
      </c>
      <c r="H17" s="7"/>
      <c r="I17" s="7"/>
      <c r="J17" s="7">
        <v>3</v>
      </c>
      <c r="K17" s="7"/>
      <c r="L17" s="7"/>
      <c r="M17" s="7"/>
      <c r="N17" s="7"/>
      <c r="O17" s="7"/>
      <c r="P17" s="7"/>
      <c r="Q17" s="7"/>
    </row>
    <row r="18" spans="2:17" x14ac:dyDescent="0.35">
      <c r="B18" s="16"/>
      <c r="C18" s="17" t="s">
        <v>105</v>
      </c>
      <c r="D18" s="18">
        <f>SUM(D11:D17)</f>
        <v>18</v>
      </c>
      <c r="E18" s="30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2:17" x14ac:dyDescent="0.35">
      <c r="B19" s="5" t="s">
        <v>107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2:17" s="1" customFormat="1" x14ac:dyDescent="0.35">
      <c r="B20" s="34" t="s">
        <v>76</v>
      </c>
      <c r="C20" s="32" t="s">
        <v>13</v>
      </c>
      <c r="D20" s="10">
        <v>1</v>
      </c>
      <c r="E20" s="29"/>
      <c r="F20" s="4"/>
      <c r="G20" s="7">
        <v>1</v>
      </c>
      <c r="H20" s="7"/>
      <c r="I20" s="7"/>
      <c r="J20" s="7"/>
      <c r="K20" s="7">
        <v>1</v>
      </c>
      <c r="L20" s="7"/>
      <c r="M20" s="7"/>
      <c r="N20" s="7"/>
      <c r="O20" s="7"/>
      <c r="P20" s="7"/>
      <c r="Q20" s="7"/>
    </row>
    <row r="21" spans="2:17" s="1" customFormat="1" x14ac:dyDescent="0.35">
      <c r="B21" s="15" t="s">
        <v>81</v>
      </c>
      <c r="C21" s="31" t="s">
        <v>21</v>
      </c>
      <c r="D21" s="12">
        <v>3</v>
      </c>
      <c r="E21" s="29"/>
      <c r="F21" s="4"/>
      <c r="G21" s="7">
        <v>3</v>
      </c>
      <c r="H21" s="7"/>
      <c r="I21" s="7"/>
      <c r="J21" s="7"/>
      <c r="K21" s="7">
        <v>3</v>
      </c>
      <c r="L21" s="7"/>
      <c r="M21" s="7"/>
      <c r="N21" s="7"/>
      <c r="O21" s="7"/>
      <c r="P21" s="7"/>
      <c r="Q21" s="7"/>
    </row>
    <row r="22" spans="2:17" s="1" customFormat="1" x14ac:dyDescent="0.35">
      <c r="B22" s="15" t="s">
        <v>77</v>
      </c>
      <c r="C22" s="31" t="s">
        <v>14</v>
      </c>
      <c r="D22" s="12">
        <v>3</v>
      </c>
      <c r="E22" s="29"/>
      <c r="F22" s="4"/>
      <c r="G22" s="7">
        <v>3</v>
      </c>
      <c r="H22" s="7"/>
      <c r="I22" s="7"/>
      <c r="J22" s="7"/>
      <c r="K22" s="7">
        <v>3</v>
      </c>
      <c r="L22" s="7"/>
      <c r="M22" s="7"/>
      <c r="N22" s="7"/>
      <c r="O22" s="7"/>
      <c r="P22" s="7"/>
      <c r="Q22" s="7"/>
    </row>
    <row r="23" spans="2:17" s="1" customFormat="1" x14ac:dyDescent="0.35">
      <c r="B23" s="15" t="s">
        <v>24</v>
      </c>
      <c r="C23" s="31" t="s">
        <v>15</v>
      </c>
      <c r="D23" s="12">
        <v>3</v>
      </c>
      <c r="E23" s="29"/>
      <c r="F23" s="4"/>
      <c r="G23" s="7">
        <v>3</v>
      </c>
      <c r="H23" s="7"/>
      <c r="I23" s="7"/>
      <c r="J23" s="7"/>
      <c r="K23" s="7">
        <v>3</v>
      </c>
      <c r="L23" s="7"/>
      <c r="M23" s="7"/>
      <c r="N23" s="7"/>
      <c r="O23" s="7"/>
      <c r="P23" s="7"/>
      <c r="Q23" s="7"/>
    </row>
    <row r="24" spans="2:17" s="1" customFormat="1" x14ac:dyDescent="0.35">
      <c r="B24" s="15" t="s">
        <v>78</v>
      </c>
      <c r="C24" s="31" t="s">
        <v>16</v>
      </c>
      <c r="D24" s="12">
        <v>2</v>
      </c>
      <c r="E24" s="29"/>
      <c r="F24" s="4"/>
      <c r="G24" s="7">
        <v>2</v>
      </c>
      <c r="H24" s="7"/>
      <c r="I24" s="7"/>
      <c r="J24" s="7"/>
      <c r="K24" s="7">
        <v>2</v>
      </c>
      <c r="L24" s="7"/>
      <c r="M24" s="7"/>
      <c r="N24" s="7"/>
      <c r="O24" s="7"/>
      <c r="P24" s="7"/>
      <c r="Q24" s="7"/>
    </row>
    <row r="25" spans="2:17" s="1" customFormat="1" x14ac:dyDescent="0.35">
      <c r="B25" s="35" t="s">
        <v>79</v>
      </c>
      <c r="C25" s="36" t="s">
        <v>52</v>
      </c>
      <c r="D25" s="12">
        <v>3</v>
      </c>
      <c r="E25" s="29"/>
      <c r="F25" s="4"/>
      <c r="G25" s="7">
        <v>3</v>
      </c>
      <c r="H25" s="7"/>
      <c r="I25" s="7"/>
      <c r="J25" s="7"/>
      <c r="K25" s="7">
        <v>3</v>
      </c>
      <c r="L25" s="7"/>
      <c r="M25" s="7"/>
      <c r="N25" s="7"/>
      <c r="O25" s="7"/>
      <c r="P25" s="7"/>
      <c r="Q25" s="7"/>
    </row>
    <row r="26" spans="2:17" s="1" customFormat="1" x14ac:dyDescent="0.35">
      <c r="B26" s="15" t="s">
        <v>11</v>
      </c>
      <c r="C26" s="1" t="s">
        <v>12</v>
      </c>
      <c r="D26" s="12">
        <v>3</v>
      </c>
      <c r="E26" s="29"/>
      <c r="F26" s="4"/>
      <c r="G26" s="7">
        <v>3</v>
      </c>
      <c r="H26" s="7"/>
      <c r="I26" s="7"/>
      <c r="J26" s="7"/>
      <c r="K26" s="7">
        <v>3</v>
      </c>
      <c r="L26" s="7"/>
      <c r="M26" s="7"/>
      <c r="N26" s="7"/>
      <c r="O26" s="7"/>
      <c r="P26" s="7"/>
      <c r="Q26" s="7"/>
    </row>
    <row r="27" spans="2:17" s="1" customFormat="1" x14ac:dyDescent="0.35">
      <c r="B27" s="16"/>
      <c r="C27" s="17" t="s">
        <v>105</v>
      </c>
      <c r="D27" s="18">
        <f>SUM(D20:D26)</f>
        <v>18</v>
      </c>
      <c r="E27" s="30"/>
      <c r="F27" s="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s="1" customFormat="1" x14ac:dyDescent="0.35">
      <c r="B28" s="5" t="s">
        <v>110</v>
      </c>
      <c r="F28" s="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2:17" s="1" customFormat="1" x14ac:dyDescent="0.35">
      <c r="B29" s="8" t="s">
        <v>82</v>
      </c>
      <c r="C29" s="9" t="s">
        <v>18</v>
      </c>
      <c r="D29" s="10">
        <v>2</v>
      </c>
      <c r="E29" s="29"/>
      <c r="F29" s="4"/>
      <c r="G29" s="7">
        <v>2</v>
      </c>
      <c r="H29" s="7"/>
      <c r="I29" s="7"/>
      <c r="J29" s="7"/>
      <c r="K29" s="7"/>
      <c r="L29" s="7">
        <v>2</v>
      </c>
      <c r="M29" s="7"/>
      <c r="N29" s="7"/>
      <c r="O29" s="7"/>
      <c r="P29" s="7"/>
      <c r="Q29" s="7"/>
    </row>
    <row r="30" spans="2:17" s="1" customFormat="1" x14ac:dyDescent="0.35">
      <c r="B30" s="15" t="s">
        <v>83</v>
      </c>
      <c r="C30" s="31" t="s">
        <v>19</v>
      </c>
      <c r="D30" s="12">
        <v>3</v>
      </c>
      <c r="E30" s="29"/>
      <c r="F30" s="4"/>
      <c r="G30" s="7">
        <v>3</v>
      </c>
      <c r="H30" s="7"/>
      <c r="I30" s="7"/>
      <c r="J30" s="7"/>
      <c r="K30" s="7"/>
      <c r="L30" s="7">
        <v>3</v>
      </c>
      <c r="M30" s="7"/>
      <c r="N30" s="7"/>
      <c r="O30" s="7"/>
      <c r="P30" s="7"/>
      <c r="Q30" s="7"/>
    </row>
    <row r="31" spans="2:17" s="1" customFormat="1" x14ac:dyDescent="0.35">
      <c r="B31" s="15" t="s">
        <v>84</v>
      </c>
      <c r="C31" s="31" t="s">
        <v>20</v>
      </c>
      <c r="D31" s="12">
        <v>3</v>
      </c>
      <c r="E31" s="29"/>
      <c r="F31" s="4"/>
      <c r="G31" s="7">
        <v>3</v>
      </c>
      <c r="H31" s="7"/>
      <c r="I31" s="7"/>
      <c r="J31" s="7"/>
      <c r="K31" s="7"/>
      <c r="L31" s="7">
        <v>3</v>
      </c>
      <c r="M31" s="7"/>
      <c r="N31" s="7"/>
      <c r="O31" s="7"/>
      <c r="P31" s="7"/>
      <c r="Q31" s="7"/>
    </row>
    <row r="32" spans="2:17" s="1" customFormat="1" x14ac:dyDescent="0.35">
      <c r="B32" s="35" t="s">
        <v>34</v>
      </c>
      <c r="C32" s="31" t="s">
        <v>108</v>
      </c>
      <c r="D32" s="12">
        <v>3</v>
      </c>
      <c r="E32" s="29"/>
      <c r="F32" s="4"/>
      <c r="G32" s="7">
        <v>3</v>
      </c>
      <c r="H32" s="7"/>
      <c r="I32" s="7"/>
      <c r="J32" s="7"/>
      <c r="K32" s="7"/>
      <c r="L32" s="7">
        <v>3</v>
      </c>
      <c r="M32" s="7"/>
      <c r="N32" s="7"/>
      <c r="O32" s="7"/>
      <c r="P32" s="7"/>
      <c r="Q32" s="7"/>
    </row>
    <row r="33" spans="2:17" s="1" customFormat="1" x14ac:dyDescent="0.35">
      <c r="B33" s="70" t="s">
        <v>42</v>
      </c>
      <c r="C33" s="71" t="s">
        <v>22</v>
      </c>
      <c r="D33" s="72">
        <v>2</v>
      </c>
      <c r="E33" s="29"/>
      <c r="F33" s="4"/>
      <c r="G33" s="7">
        <v>2</v>
      </c>
      <c r="H33" s="7"/>
      <c r="I33" s="7"/>
      <c r="J33" s="7"/>
      <c r="K33" s="7"/>
      <c r="L33" s="7">
        <v>2</v>
      </c>
      <c r="M33" s="7"/>
      <c r="N33" s="7"/>
      <c r="O33" s="7"/>
      <c r="P33" s="7"/>
      <c r="Q33" s="7"/>
    </row>
    <row r="34" spans="2:17" s="1" customFormat="1" x14ac:dyDescent="0.35">
      <c r="B34" s="15" t="s">
        <v>129</v>
      </c>
      <c r="C34" s="31" t="s">
        <v>23</v>
      </c>
      <c r="D34" s="12">
        <v>3</v>
      </c>
      <c r="E34" s="29"/>
      <c r="F34" s="4"/>
      <c r="G34" s="7">
        <v>3</v>
      </c>
      <c r="H34" s="7"/>
      <c r="I34" s="7"/>
      <c r="J34" s="7"/>
      <c r="K34" s="7"/>
      <c r="L34" s="7">
        <v>3</v>
      </c>
      <c r="M34" s="7"/>
      <c r="N34" s="7"/>
      <c r="O34" s="7"/>
      <c r="P34" s="7"/>
      <c r="Q34" s="7"/>
    </row>
    <row r="35" spans="2:17" s="1" customFormat="1" x14ac:dyDescent="0.35">
      <c r="B35" s="63" t="s">
        <v>112</v>
      </c>
      <c r="C35" s="64" t="s">
        <v>113</v>
      </c>
      <c r="D35" s="65">
        <v>2</v>
      </c>
      <c r="E35" s="29"/>
      <c r="F35" s="4"/>
      <c r="G35" s="7">
        <v>2</v>
      </c>
      <c r="H35" s="7"/>
      <c r="I35" s="7"/>
      <c r="J35" s="7"/>
      <c r="K35" s="7"/>
      <c r="L35" s="7">
        <v>2</v>
      </c>
      <c r="M35" s="7"/>
      <c r="N35" s="7"/>
      <c r="O35" s="7"/>
      <c r="P35" s="7"/>
      <c r="Q35" s="7"/>
    </row>
    <row r="36" spans="2:17" s="1" customFormat="1" x14ac:dyDescent="0.35">
      <c r="B36" s="16"/>
      <c r="C36" s="17" t="s">
        <v>105</v>
      </c>
      <c r="D36" s="18">
        <f>SUM(D29:D35)</f>
        <v>18</v>
      </c>
      <c r="E36" s="30"/>
      <c r="F36" s="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2:17" s="1" customFormat="1" x14ac:dyDescent="0.35">
      <c r="B37" s="5" t="s">
        <v>114</v>
      </c>
      <c r="F37" s="4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2:17" s="1" customFormat="1" x14ac:dyDescent="0.35">
      <c r="B38" s="37" t="s">
        <v>87</v>
      </c>
      <c r="C38" s="32" t="s">
        <v>53</v>
      </c>
      <c r="D38" s="10">
        <v>3</v>
      </c>
      <c r="E38" s="29"/>
      <c r="F38" s="4"/>
      <c r="G38" s="7">
        <v>3</v>
      </c>
      <c r="H38" s="7"/>
      <c r="I38" s="7"/>
      <c r="J38" s="7"/>
      <c r="K38" s="7"/>
      <c r="L38" s="7"/>
      <c r="M38" s="7">
        <v>3</v>
      </c>
      <c r="N38" s="7"/>
      <c r="O38" s="7"/>
      <c r="P38" s="7"/>
      <c r="Q38" s="7"/>
    </row>
    <row r="39" spans="2:17" s="1" customFormat="1" x14ac:dyDescent="0.35">
      <c r="B39" s="15" t="s">
        <v>90</v>
      </c>
      <c r="C39" s="31" t="s">
        <v>40</v>
      </c>
      <c r="D39" s="12">
        <v>3</v>
      </c>
      <c r="E39" s="29"/>
      <c r="F39" s="4"/>
      <c r="G39" s="7">
        <v>3</v>
      </c>
      <c r="H39" s="7"/>
      <c r="I39" s="7"/>
      <c r="J39" s="7"/>
      <c r="K39" s="7"/>
      <c r="L39" s="7"/>
      <c r="M39" s="7">
        <v>3</v>
      </c>
      <c r="N39" s="7"/>
      <c r="O39" s="7"/>
      <c r="P39" s="7"/>
      <c r="Q39" s="7"/>
    </row>
    <row r="40" spans="2:17" s="1" customFormat="1" x14ac:dyDescent="0.35">
      <c r="B40" s="15" t="s">
        <v>88</v>
      </c>
      <c r="C40" s="31" t="s">
        <v>26</v>
      </c>
      <c r="D40" s="12">
        <v>3</v>
      </c>
      <c r="E40" s="29"/>
      <c r="F40" s="4"/>
      <c r="G40" s="7">
        <v>3</v>
      </c>
      <c r="H40" s="7"/>
      <c r="I40" s="7"/>
      <c r="J40" s="7"/>
      <c r="K40" s="7"/>
      <c r="L40" s="7"/>
      <c r="M40" s="7">
        <v>3</v>
      </c>
      <c r="N40" s="7"/>
      <c r="O40" s="7"/>
      <c r="P40" s="7"/>
      <c r="Q40" s="7"/>
    </row>
    <row r="41" spans="2:17" s="1" customFormat="1" x14ac:dyDescent="0.35">
      <c r="B41" s="70" t="s">
        <v>117</v>
      </c>
      <c r="C41" s="71" t="s">
        <v>35</v>
      </c>
      <c r="D41" s="72">
        <v>3</v>
      </c>
      <c r="E41" s="29"/>
      <c r="F41" s="4"/>
      <c r="G41" s="7">
        <v>3</v>
      </c>
      <c r="H41" s="7"/>
      <c r="I41" s="7"/>
      <c r="J41" s="7"/>
      <c r="K41" s="7"/>
      <c r="L41" s="7"/>
      <c r="M41" s="7">
        <v>3</v>
      </c>
      <c r="N41" s="7"/>
      <c r="O41" s="7"/>
      <c r="P41" s="7"/>
      <c r="Q41" s="7"/>
    </row>
    <row r="42" spans="2:17" x14ac:dyDescent="0.35">
      <c r="B42" s="66" t="s">
        <v>115</v>
      </c>
      <c r="C42" s="64" t="s">
        <v>28</v>
      </c>
      <c r="D42" s="65">
        <v>3</v>
      </c>
      <c r="E42" s="29"/>
      <c r="G42" s="7">
        <v>3</v>
      </c>
      <c r="H42" s="7"/>
      <c r="I42" s="7"/>
      <c r="J42" s="7"/>
      <c r="K42" s="7"/>
      <c r="L42" s="7"/>
      <c r="M42" s="7">
        <v>3</v>
      </c>
      <c r="N42" s="7"/>
      <c r="O42" s="7"/>
      <c r="P42" s="7"/>
      <c r="Q42" s="7"/>
    </row>
    <row r="43" spans="2:17" x14ac:dyDescent="0.35">
      <c r="B43" s="15" t="s">
        <v>80</v>
      </c>
      <c r="C43" s="31" t="s">
        <v>17</v>
      </c>
      <c r="D43" s="12">
        <v>3</v>
      </c>
      <c r="E43" s="29"/>
      <c r="G43" s="7">
        <v>3</v>
      </c>
      <c r="H43" s="7"/>
      <c r="I43" s="7"/>
      <c r="J43" s="7"/>
      <c r="K43" s="7"/>
      <c r="L43" s="7"/>
      <c r="M43" s="7">
        <v>3</v>
      </c>
      <c r="N43" s="7"/>
      <c r="O43" s="7"/>
      <c r="P43" s="7"/>
      <c r="Q43" s="7"/>
    </row>
    <row r="44" spans="2:17" s="1" customFormat="1" x14ac:dyDescent="0.35">
      <c r="B44" s="16"/>
      <c r="C44" s="17" t="s">
        <v>105</v>
      </c>
      <c r="D44" s="18">
        <f>SUM(D38:D43)</f>
        <v>18</v>
      </c>
      <c r="E44" s="30"/>
      <c r="F44" s="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2:17" s="1" customFormat="1" x14ac:dyDescent="0.35">
      <c r="B45" s="5" t="s">
        <v>116</v>
      </c>
      <c r="F45" s="4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2:17" s="1" customFormat="1" x14ac:dyDescent="0.35">
      <c r="B46" s="8" t="s">
        <v>130</v>
      </c>
      <c r="C46" s="9" t="s">
        <v>136</v>
      </c>
      <c r="D46" s="10">
        <v>3</v>
      </c>
      <c r="E46" s="29"/>
      <c r="F46" s="4"/>
      <c r="G46" s="6">
        <v>3</v>
      </c>
      <c r="H46" s="7"/>
      <c r="I46" s="7"/>
      <c r="J46" s="7"/>
      <c r="K46" s="7"/>
      <c r="L46" s="7"/>
      <c r="M46" s="7"/>
      <c r="N46" s="7">
        <v>3</v>
      </c>
      <c r="O46" s="7"/>
      <c r="P46" s="7"/>
      <c r="Q46" s="7"/>
    </row>
    <row r="47" spans="2:17" s="1" customFormat="1" x14ac:dyDescent="0.35">
      <c r="B47" s="15" t="s">
        <v>31</v>
      </c>
      <c r="C47" s="31" t="s">
        <v>25</v>
      </c>
      <c r="D47" s="12">
        <v>3</v>
      </c>
      <c r="E47" s="29"/>
      <c r="F47" s="4"/>
      <c r="G47" s="7">
        <v>3</v>
      </c>
      <c r="H47" s="7"/>
      <c r="I47" s="7"/>
      <c r="J47" s="7"/>
      <c r="K47" s="7"/>
      <c r="L47" s="7"/>
      <c r="M47" s="7"/>
      <c r="N47" s="7">
        <v>3</v>
      </c>
      <c r="O47" s="7"/>
      <c r="P47" s="7"/>
      <c r="Q47" s="7"/>
    </row>
    <row r="48" spans="2:17" s="1" customFormat="1" ht="20.25" customHeight="1" x14ac:dyDescent="0.35">
      <c r="B48" s="70" t="s">
        <v>97</v>
      </c>
      <c r="C48" s="71" t="s">
        <v>41</v>
      </c>
      <c r="D48" s="72">
        <v>3</v>
      </c>
      <c r="E48" s="29"/>
      <c r="F48" s="4"/>
      <c r="G48" s="7">
        <v>3</v>
      </c>
      <c r="H48" s="7"/>
      <c r="I48" s="7"/>
      <c r="J48" s="7"/>
      <c r="K48" s="7"/>
      <c r="L48" s="7"/>
      <c r="M48" s="7"/>
      <c r="N48" s="7">
        <v>3</v>
      </c>
      <c r="O48" s="7"/>
      <c r="P48" s="7"/>
      <c r="Q48" s="7"/>
    </row>
    <row r="49" spans="2:17" s="1" customFormat="1" x14ac:dyDescent="0.35">
      <c r="B49" s="73" t="s">
        <v>94</v>
      </c>
      <c r="C49" s="71" t="s">
        <v>37</v>
      </c>
      <c r="D49" s="72">
        <v>2</v>
      </c>
      <c r="E49" s="29"/>
      <c r="F49" s="4"/>
      <c r="G49" s="7">
        <v>2</v>
      </c>
      <c r="H49" s="7"/>
      <c r="I49" s="7"/>
      <c r="J49" s="7"/>
      <c r="K49" s="7"/>
      <c r="L49" s="7"/>
      <c r="M49" s="7"/>
      <c r="N49" s="7">
        <v>2</v>
      </c>
      <c r="O49" s="7"/>
      <c r="P49" s="7"/>
      <c r="Q49" s="7"/>
    </row>
    <row r="50" spans="2:17" x14ac:dyDescent="0.35">
      <c r="B50" s="66" t="s">
        <v>118</v>
      </c>
      <c r="C50" s="64" t="s">
        <v>36</v>
      </c>
      <c r="D50" s="65">
        <v>3</v>
      </c>
      <c r="E50" s="29"/>
      <c r="G50" s="7">
        <v>3</v>
      </c>
      <c r="H50" s="7"/>
      <c r="I50" s="7"/>
      <c r="J50" s="7"/>
      <c r="K50" s="7"/>
      <c r="L50" s="7"/>
      <c r="M50" s="7"/>
      <c r="N50" s="7">
        <v>3</v>
      </c>
      <c r="O50" s="7"/>
      <c r="P50" s="7"/>
      <c r="Q50" s="7"/>
    </row>
    <row r="51" spans="2:17" s="1" customFormat="1" x14ac:dyDescent="0.35">
      <c r="B51" s="15" t="s">
        <v>11</v>
      </c>
      <c r="C51" s="1" t="s">
        <v>12</v>
      </c>
      <c r="D51" s="12">
        <v>3</v>
      </c>
      <c r="E51" s="29"/>
      <c r="F51" s="4"/>
      <c r="G51" s="7">
        <v>3</v>
      </c>
      <c r="H51" s="7"/>
      <c r="I51" s="7"/>
      <c r="J51" s="7"/>
      <c r="K51" s="7"/>
      <c r="L51" s="7"/>
      <c r="M51" s="7"/>
      <c r="N51" s="7">
        <v>3</v>
      </c>
      <c r="O51" s="7"/>
      <c r="P51" s="7"/>
      <c r="Q51" s="7"/>
    </row>
    <row r="52" spans="2:17" s="1" customFormat="1" x14ac:dyDescent="0.35">
      <c r="B52" s="16" t="s">
        <v>95</v>
      </c>
      <c r="C52" s="17" t="s">
        <v>105</v>
      </c>
      <c r="D52" s="18">
        <f>SUM(D46:D51)</f>
        <v>17</v>
      </c>
      <c r="E52" s="30"/>
      <c r="F52" s="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2:17" s="1" customFormat="1" x14ac:dyDescent="0.35">
      <c r="B53" s="5" t="s">
        <v>119</v>
      </c>
      <c r="F53" s="4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2:17" s="1" customFormat="1" x14ac:dyDescent="0.35">
      <c r="B54" s="8" t="s">
        <v>96</v>
      </c>
      <c r="C54" s="9" t="s">
        <v>39</v>
      </c>
      <c r="D54" s="10">
        <v>3</v>
      </c>
      <c r="E54" s="29"/>
      <c r="F54" s="4"/>
      <c r="G54" s="7">
        <v>3</v>
      </c>
      <c r="H54" s="7"/>
      <c r="I54" s="7"/>
      <c r="J54" s="7"/>
      <c r="K54" s="7"/>
      <c r="L54" s="7"/>
      <c r="M54" s="7"/>
      <c r="N54" s="7"/>
      <c r="O54" s="7">
        <v>3</v>
      </c>
      <c r="P54" s="7"/>
      <c r="Q54" s="7"/>
    </row>
    <row r="55" spans="2:17" s="1" customFormat="1" x14ac:dyDescent="0.35">
      <c r="B55" s="33" t="s">
        <v>92</v>
      </c>
      <c r="C55" s="1" t="s">
        <v>30</v>
      </c>
      <c r="D55" s="12">
        <v>3</v>
      </c>
      <c r="E55" s="29"/>
      <c r="F55" s="4"/>
      <c r="G55" s="7">
        <v>3</v>
      </c>
      <c r="H55" s="7"/>
      <c r="I55" s="7"/>
      <c r="J55" s="7"/>
      <c r="K55" s="7"/>
      <c r="L55" s="7"/>
      <c r="M55" s="7"/>
      <c r="N55" s="7"/>
      <c r="O55" s="7">
        <v>3</v>
      </c>
      <c r="P55" s="7"/>
      <c r="Q55" s="7"/>
    </row>
    <row r="56" spans="2:17" s="1" customFormat="1" x14ac:dyDescent="0.35">
      <c r="B56" s="15" t="s">
        <v>89</v>
      </c>
      <c r="C56" s="31" t="s">
        <v>27</v>
      </c>
      <c r="D56" s="12">
        <v>3</v>
      </c>
      <c r="E56" s="29"/>
      <c r="F56" s="4"/>
      <c r="G56" s="7">
        <v>3</v>
      </c>
      <c r="H56" s="7"/>
      <c r="I56" s="7"/>
      <c r="J56" s="7"/>
      <c r="K56" s="7"/>
      <c r="L56" s="7"/>
      <c r="M56" s="7"/>
      <c r="N56" s="7"/>
      <c r="O56" s="7">
        <v>3</v>
      </c>
      <c r="P56" s="7"/>
      <c r="Q56" s="7"/>
    </row>
    <row r="57" spans="2:17" s="1" customFormat="1" x14ac:dyDescent="0.35">
      <c r="B57" s="70" t="s">
        <v>95</v>
      </c>
      <c r="C57" s="71" t="s">
        <v>38</v>
      </c>
      <c r="D57" s="77">
        <v>2</v>
      </c>
      <c r="E57" s="29"/>
      <c r="F57" s="4"/>
      <c r="G57" s="7">
        <v>2</v>
      </c>
      <c r="H57" s="7"/>
      <c r="I57" s="7"/>
      <c r="J57" s="7"/>
      <c r="K57" s="7"/>
      <c r="L57" s="7"/>
      <c r="M57" s="7"/>
      <c r="N57" s="7"/>
      <c r="O57" s="7">
        <v>2</v>
      </c>
      <c r="P57" s="7"/>
      <c r="Q57" s="7"/>
    </row>
    <row r="58" spans="2:17" s="1" customFormat="1" x14ac:dyDescent="0.35">
      <c r="B58" s="15" t="s">
        <v>43</v>
      </c>
      <c r="C58" s="31" t="s">
        <v>44</v>
      </c>
      <c r="D58" s="12">
        <v>3</v>
      </c>
      <c r="E58" s="29"/>
      <c r="F58" s="4"/>
      <c r="G58" s="7">
        <v>3</v>
      </c>
      <c r="H58" s="7"/>
      <c r="I58" s="7"/>
      <c r="J58" s="7"/>
      <c r="K58" s="7"/>
      <c r="L58" s="7"/>
      <c r="M58" s="7"/>
      <c r="N58" s="7"/>
      <c r="O58" s="7">
        <v>3</v>
      </c>
      <c r="P58" s="7"/>
      <c r="Q58" s="7"/>
    </row>
    <row r="59" spans="2:17" x14ac:dyDescent="0.35">
      <c r="B59" s="63" t="s">
        <v>117</v>
      </c>
      <c r="C59" s="64" t="s">
        <v>33</v>
      </c>
      <c r="D59" s="65">
        <v>2</v>
      </c>
      <c r="E59" s="29"/>
      <c r="G59" s="7">
        <v>2</v>
      </c>
      <c r="H59" s="7"/>
      <c r="I59" s="7"/>
      <c r="J59" s="7"/>
      <c r="K59" s="7"/>
      <c r="L59" s="7"/>
      <c r="M59" s="7"/>
      <c r="N59" s="7"/>
      <c r="O59" s="7">
        <v>2</v>
      </c>
      <c r="P59" s="7"/>
      <c r="Q59" s="7"/>
    </row>
    <row r="60" spans="2:17" s="1" customFormat="1" x14ac:dyDescent="0.35">
      <c r="B60" s="16"/>
      <c r="C60" s="17" t="s">
        <v>105</v>
      </c>
      <c r="D60" s="18">
        <f>SUM(D54:D59)</f>
        <v>16</v>
      </c>
      <c r="E60" s="30"/>
      <c r="F60" s="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2:17" s="1" customFormat="1" x14ac:dyDescent="0.35">
      <c r="B61" s="5" t="s">
        <v>120</v>
      </c>
      <c r="F61" s="4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2:17" x14ac:dyDescent="0.35">
      <c r="B62" s="74" t="s">
        <v>99</v>
      </c>
      <c r="C62" s="75" t="s">
        <v>48</v>
      </c>
      <c r="D62" s="76">
        <v>3</v>
      </c>
      <c r="E62" s="29"/>
      <c r="G62" s="7">
        <v>3</v>
      </c>
      <c r="H62" s="7"/>
      <c r="I62" s="7"/>
      <c r="J62" s="7"/>
      <c r="K62" s="7"/>
      <c r="L62" s="7"/>
      <c r="M62" s="7"/>
      <c r="N62" s="7"/>
      <c r="O62" s="7"/>
      <c r="P62" s="7">
        <v>3</v>
      </c>
      <c r="Q62" s="7"/>
    </row>
    <row r="63" spans="2:17" s="1" customFormat="1" x14ac:dyDescent="0.35">
      <c r="B63" s="33" t="s">
        <v>93</v>
      </c>
      <c r="C63" s="1" t="s">
        <v>32</v>
      </c>
      <c r="D63" s="12">
        <v>3</v>
      </c>
      <c r="E63" s="29"/>
      <c r="F63" s="4"/>
      <c r="G63" s="7">
        <v>3</v>
      </c>
      <c r="H63" s="7"/>
      <c r="I63" s="7"/>
      <c r="J63" s="7"/>
      <c r="K63" s="7"/>
      <c r="L63" s="7"/>
      <c r="M63" s="7"/>
      <c r="N63" s="7"/>
      <c r="O63" s="7"/>
      <c r="P63" s="7">
        <v>3</v>
      </c>
      <c r="Q63" s="7"/>
    </row>
    <row r="64" spans="2:17" s="1" customFormat="1" x14ac:dyDescent="0.35">
      <c r="B64" s="33" t="s">
        <v>98</v>
      </c>
      <c r="C64" s="31" t="s">
        <v>49</v>
      </c>
      <c r="D64" s="12">
        <v>3</v>
      </c>
      <c r="E64" s="29"/>
      <c r="F64" s="4"/>
      <c r="G64" s="7">
        <v>3</v>
      </c>
      <c r="H64" s="7"/>
      <c r="I64" s="7"/>
      <c r="J64" s="7"/>
      <c r="K64" s="7"/>
      <c r="L64" s="7"/>
      <c r="M64" s="7"/>
      <c r="N64" s="7"/>
      <c r="O64" s="7"/>
      <c r="P64" s="7">
        <v>3</v>
      </c>
      <c r="Q64" s="7"/>
    </row>
    <row r="65" spans="2:18" s="1" customFormat="1" x14ac:dyDescent="0.35">
      <c r="B65" s="70" t="s">
        <v>95</v>
      </c>
      <c r="C65" s="71" t="s">
        <v>38</v>
      </c>
      <c r="D65" s="72">
        <v>2</v>
      </c>
      <c r="E65" s="29"/>
      <c r="F65" s="4"/>
      <c r="G65" s="7">
        <v>2</v>
      </c>
      <c r="H65" s="7"/>
      <c r="I65" s="7"/>
      <c r="J65" s="7"/>
      <c r="K65" s="7"/>
      <c r="L65" s="7"/>
      <c r="M65" s="7"/>
      <c r="N65" s="7"/>
      <c r="O65" s="7"/>
      <c r="P65" s="7">
        <v>2</v>
      </c>
      <c r="Q65" s="7"/>
    </row>
    <row r="66" spans="2:18" s="1" customFormat="1" x14ac:dyDescent="0.35">
      <c r="B66" s="70" t="s">
        <v>95</v>
      </c>
      <c r="C66" s="71" t="s">
        <v>38</v>
      </c>
      <c r="D66" s="72">
        <v>2</v>
      </c>
      <c r="E66" s="29"/>
      <c r="F66" s="4"/>
      <c r="G66" s="7">
        <v>2</v>
      </c>
      <c r="H66" s="7"/>
      <c r="I66" s="7"/>
      <c r="J66" s="7"/>
      <c r="K66" s="7"/>
      <c r="L66" s="7"/>
      <c r="M66" s="7"/>
      <c r="N66" s="7"/>
      <c r="O66" s="7"/>
      <c r="P66" s="7">
        <v>2</v>
      </c>
      <c r="Q66" s="7"/>
    </row>
    <row r="67" spans="2:18" s="1" customFormat="1" x14ac:dyDescent="0.35">
      <c r="B67" s="70" t="s">
        <v>95</v>
      </c>
      <c r="C67" s="71" t="s">
        <v>38</v>
      </c>
      <c r="D67" s="72">
        <v>2</v>
      </c>
      <c r="E67" s="29"/>
      <c r="F67" s="4"/>
      <c r="G67" s="7">
        <v>2</v>
      </c>
      <c r="H67" s="7"/>
      <c r="I67" s="7"/>
      <c r="J67" s="7"/>
      <c r="K67" s="7"/>
      <c r="L67" s="7"/>
      <c r="M67" s="7"/>
      <c r="N67" s="7"/>
      <c r="O67" s="7"/>
      <c r="P67" s="7">
        <v>2</v>
      </c>
      <c r="Q67" s="7"/>
    </row>
    <row r="68" spans="2:18" s="1" customFormat="1" x14ac:dyDescent="0.35">
      <c r="B68" s="33" t="s">
        <v>11</v>
      </c>
      <c r="C68" s="1" t="s">
        <v>12</v>
      </c>
      <c r="D68" s="12">
        <v>3</v>
      </c>
      <c r="E68" s="29"/>
      <c r="F68" s="4"/>
      <c r="G68" s="7">
        <v>3</v>
      </c>
      <c r="H68" s="7"/>
      <c r="I68" s="7"/>
      <c r="J68" s="7"/>
      <c r="K68" s="7"/>
      <c r="L68" s="7"/>
      <c r="M68" s="7"/>
      <c r="N68" s="7"/>
      <c r="O68" s="7"/>
      <c r="P68" s="7">
        <v>3</v>
      </c>
      <c r="Q68" s="7"/>
    </row>
    <row r="69" spans="2:18" s="1" customFormat="1" x14ac:dyDescent="0.35">
      <c r="B69" s="16"/>
      <c r="C69" s="17" t="s">
        <v>105</v>
      </c>
      <c r="D69" s="18">
        <f>SUM(D62:D68)</f>
        <v>18</v>
      </c>
      <c r="E69" s="30"/>
      <c r="F69" s="4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2:18" s="1" customFormat="1" x14ac:dyDescent="0.35">
      <c r="B70" s="5" t="s">
        <v>137</v>
      </c>
      <c r="F70" s="4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2:18" s="1" customFormat="1" x14ac:dyDescent="0.35">
      <c r="B71" s="67" t="s">
        <v>121</v>
      </c>
      <c r="C71" s="68" t="s">
        <v>47</v>
      </c>
      <c r="D71" s="69">
        <v>3</v>
      </c>
      <c r="E71" s="29"/>
      <c r="F71" s="4"/>
      <c r="G71" s="7">
        <v>3</v>
      </c>
      <c r="H71" s="7"/>
      <c r="I71" s="7"/>
      <c r="J71" s="7"/>
      <c r="K71" s="7"/>
      <c r="L71" s="7"/>
      <c r="M71" s="7"/>
      <c r="N71" s="7"/>
      <c r="O71" s="7"/>
      <c r="P71" s="7"/>
      <c r="Q71" s="7">
        <v>3</v>
      </c>
    </row>
    <row r="72" spans="2:18" s="1" customFormat="1" x14ac:dyDescent="0.35">
      <c r="B72" s="63" t="s">
        <v>95</v>
      </c>
      <c r="C72" s="64" t="s">
        <v>38</v>
      </c>
      <c r="D72" s="65">
        <v>2</v>
      </c>
      <c r="E72" s="29"/>
      <c r="F72" s="4"/>
      <c r="G72" s="7">
        <v>2</v>
      </c>
      <c r="H72" s="7"/>
      <c r="I72" s="7"/>
      <c r="J72" s="7"/>
      <c r="K72" s="7"/>
      <c r="L72" s="7"/>
      <c r="M72" s="7"/>
      <c r="N72" s="7"/>
      <c r="O72" s="7"/>
      <c r="P72" s="7"/>
      <c r="Q72" s="7">
        <v>2</v>
      </c>
    </row>
    <row r="73" spans="2:18" s="1" customFormat="1" x14ac:dyDescent="0.35">
      <c r="B73" s="63" t="s">
        <v>95</v>
      </c>
      <c r="C73" s="64" t="s">
        <v>38</v>
      </c>
      <c r="D73" s="65">
        <v>2</v>
      </c>
      <c r="E73" s="29"/>
      <c r="F73" s="4"/>
      <c r="G73" s="7">
        <v>2</v>
      </c>
      <c r="H73" s="7"/>
      <c r="I73" s="7"/>
      <c r="J73" s="7"/>
      <c r="K73" s="7"/>
      <c r="L73" s="7"/>
      <c r="M73" s="7"/>
      <c r="N73" s="7"/>
      <c r="O73" s="7"/>
      <c r="P73" s="7"/>
      <c r="Q73" s="7">
        <v>2</v>
      </c>
    </row>
    <row r="74" spans="2:18" s="1" customFormat="1" x14ac:dyDescent="0.35">
      <c r="B74" s="63" t="s">
        <v>95</v>
      </c>
      <c r="C74" s="64" t="s">
        <v>38</v>
      </c>
      <c r="D74" s="65">
        <v>2</v>
      </c>
      <c r="E74" s="29"/>
      <c r="F74" s="4"/>
      <c r="G74" s="7">
        <v>2</v>
      </c>
      <c r="H74" s="7"/>
      <c r="I74" s="7"/>
      <c r="J74" s="7"/>
      <c r="K74" s="7"/>
      <c r="L74" s="7"/>
      <c r="M74" s="7"/>
      <c r="N74" s="7"/>
      <c r="O74" s="7"/>
      <c r="P74" s="7"/>
      <c r="Q74" s="7">
        <v>2</v>
      </c>
    </row>
    <row r="75" spans="2:18" s="1" customFormat="1" x14ac:dyDescent="0.35">
      <c r="B75" s="63" t="s">
        <v>95</v>
      </c>
      <c r="C75" s="64" t="s">
        <v>38</v>
      </c>
      <c r="D75" s="65">
        <v>2</v>
      </c>
      <c r="E75" s="29"/>
      <c r="F75" s="4"/>
      <c r="G75" s="7">
        <v>2</v>
      </c>
      <c r="H75" s="7"/>
      <c r="I75" s="7"/>
      <c r="J75" s="7"/>
      <c r="K75" s="7"/>
      <c r="L75" s="7"/>
      <c r="M75" s="7"/>
      <c r="N75" s="7"/>
      <c r="O75" s="7"/>
      <c r="P75" s="7"/>
      <c r="Q75" s="7">
        <v>2</v>
      </c>
    </row>
    <row r="76" spans="2:18" s="1" customFormat="1" x14ac:dyDescent="0.35">
      <c r="B76" s="16"/>
      <c r="C76" s="17" t="s">
        <v>105</v>
      </c>
      <c r="D76" s="18">
        <f>SUM(D71:D75)</f>
        <v>11</v>
      </c>
      <c r="E76" s="30"/>
      <c r="F76" s="4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2:18" s="1" customFormat="1" x14ac:dyDescent="0.35">
      <c r="B77" s="24"/>
      <c r="F77" s="4"/>
      <c r="G77" s="25" t="s">
        <v>100</v>
      </c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2:18" s="1" customFormat="1" x14ac:dyDescent="0.35">
      <c r="B78" s="26"/>
      <c r="C78" s="2" t="s">
        <v>101</v>
      </c>
      <c r="D78" s="27">
        <f>SUM(D9,D18,D27,D36,D44,D52,D60,D69,D76)</f>
        <v>149</v>
      </c>
      <c r="E78" s="27"/>
      <c r="F78" s="4"/>
      <c r="G78" s="4">
        <f>SUM(G4:G76)</f>
        <v>149</v>
      </c>
      <c r="H78" s="4"/>
      <c r="I78" s="4">
        <f t="shared" ref="I78:Q78" si="0">SUM(I4:I76)</f>
        <v>15</v>
      </c>
      <c r="J78" s="4">
        <f t="shared" si="0"/>
        <v>18</v>
      </c>
      <c r="K78" s="4">
        <f t="shared" si="0"/>
        <v>18</v>
      </c>
      <c r="L78" s="4">
        <f t="shared" si="0"/>
        <v>18</v>
      </c>
      <c r="M78" s="4">
        <f t="shared" si="0"/>
        <v>18</v>
      </c>
      <c r="N78" s="4">
        <f t="shared" si="0"/>
        <v>17</v>
      </c>
      <c r="O78" s="4">
        <f t="shared" si="0"/>
        <v>16</v>
      </c>
      <c r="P78" s="4">
        <f t="shared" si="0"/>
        <v>18</v>
      </c>
      <c r="Q78" s="4">
        <f t="shared" si="0"/>
        <v>11</v>
      </c>
      <c r="R78" s="1">
        <f>SUM(I78:Q78)</f>
        <v>149</v>
      </c>
    </row>
    <row r="79" spans="2:18" s="1" customFormat="1" x14ac:dyDescent="0.35">
      <c r="B79" s="2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2:18" s="1" customFormat="1" x14ac:dyDescent="0.35">
      <c r="B80" s="2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8" s="4" customFormat="1" x14ac:dyDescent="0.35">
      <c r="A81" s="1"/>
      <c r="B81" s="26"/>
      <c r="C81" s="1"/>
      <c r="D81" s="1"/>
      <c r="E81" s="1"/>
      <c r="R81" s="1"/>
    </row>
    <row r="82" spans="1:18" s="4" customFormat="1" x14ac:dyDescent="0.35">
      <c r="A82" s="1"/>
      <c r="B82" s="26"/>
      <c r="C82" s="1"/>
      <c r="D82" s="1"/>
      <c r="E82" s="1"/>
      <c r="R82" s="1"/>
    </row>
    <row r="83" spans="1:18" s="4" customFormat="1" x14ac:dyDescent="0.35">
      <c r="A83" s="1"/>
      <c r="B83" s="26"/>
      <c r="C83" s="1"/>
      <c r="D83" s="1"/>
      <c r="E83" s="1"/>
      <c r="R83" s="1"/>
    </row>
    <row r="84" spans="1:18" s="4" customFormat="1" x14ac:dyDescent="0.35">
      <c r="A84" s="1"/>
      <c r="B84" s="26"/>
      <c r="C84" s="1"/>
      <c r="D84" s="1"/>
      <c r="E84" s="1"/>
      <c r="R84" s="1"/>
    </row>
    <row r="85" spans="1:18" s="4" customFormat="1" x14ac:dyDescent="0.35">
      <c r="A85" s="1"/>
      <c r="B85" s="26"/>
      <c r="C85" s="1"/>
      <c r="D85" s="1"/>
      <c r="E85" s="1"/>
      <c r="R85" s="1"/>
    </row>
    <row r="86" spans="1:18" s="4" customFormat="1" x14ac:dyDescent="0.35">
      <c r="A86" s="1"/>
      <c r="B86" s="26"/>
      <c r="C86" s="1"/>
      <c r="D86" s="1"/>
      <c r="E86" s="1"/>
      <c r="R86" s="1"/>
    </row>
    <row r="87" spans="1:18" s="4" customFormat="1" x14ac:dyDescent="0.35">
      <c r="A87" s="1"/>
      <c r="B87" s="26"/>
      <c r="C87" s="1"/>
      <c r="D87" s="1"/>
      <c r="E87" s="1"/>
      <c r="R87" s="1"/>
    </row>
    <row r="88" spans="1:18" s="4" customFormat="1" x14ac:dyDescent="0.35">
      <c r="A88" s="1"/>
      <c r="B88" s="26"/>
      <c r="C88" s="1"/>
      <c r="D88" s="1"/>
      <c r="E88" s="1"/>
      <c r="R88" s="1"/>
    </row>
    <row r="89" spans="1:18" s="4" customFormat="1" x14ac:dyDescent="0.35">
      <c r="A89" s="1"/>
      <c r="B89" s="26"/>
      <c r="C89" s="1"/>
      <c r="D89" s="1"/>
      <c r="E89" s="1"/>
      <c r="R89" s="1"/>
    </row>
  </sheetData>
  <mergeCells count="1">
    <mergeCell ref="I2:Q2"/>
  </mergeCells>
  <hyperlinks>
    <hyperlink ref="B31" r:id="rId1" display="https://catalogo.uniandes.edu.co/2017/Catalogo/Cursos/IELE/2000/IELE-2002" xr:uid="{378A0F6C-53E8-46FB-90A4-03BA375DDF8D}"/>
    <hyperlink ref="B21" r:id="rId2" display="https://catalogo.uniandes.edu.co/2017/Catalogo/Cursos/IELE/2000/IELE-2206" xr:uid="{3345C90D-8F3F-44A7-A34C-5DA97284001F}"/>
    <hyperlink ref="B22" r:id="rId3" display="https://catalogo.uniandes.edu.co/2017/Catalogo/Cursos/IELE/2000/IELE-2500" xr:uid="{DF14D8B4-C94E-4BEE-AF60-BBEB0B891326}"/>
    <hyperlink ref="B30" r:id="rId4" display="https://catalogo.uniandes.edu.co/2017/Catalogo/Cursos/IIND/2000/IIND-2106" xr:uid="{09608B63-6E47-41FF-BA3B-E142582C97B2}"/>
    <hyperlink ref="B56" r:id="rId5" display="https://catalogo.uniandes.edu.co/2017/Catalogo/Cursos/IELE/2000/IELE-2009" xr:uid="{C986F305-F438-4B2B-BEBC-860BA480CE7A}"/>
    <hyperlink ref="B40" r:id="rId6" display="https://catalogo.uniandes.edu.co/2017/Catalogo/Cursos/IELE/2000/IELE-2300" xr:uid="{82666357-212D-4596-BBFF-52175EEC21DE}"/>
    <hyperlink ref="B47" r:id="rId7" display="https://catalogo.uniandes.edu.co/2017/Catalogo/Cursos/IELE/2000/IELE-2402" xr:uid="{C3D3ED57-EB62-415C-A55C-26D8EC21FC03}"/>
    <hyperlink ref="B38" r:id="rId8" display="https://catalogo.uniandes.edu.co/2017/Catalogo/Cursos/IIND/2000/IIND-2401" xr:uid="{578EB7E3-69C4-4B57-BCEA-98317BBB405C}"/>
    <hyperlink ref="B6" r:id="rId9" display="https://catalogo.uniandes.edu.co/2017/Catalogo/Cursos/MATE/1000/MATE-1203" xr:uid="{AF51EB06-4D87-4D41-BE24-C6470ECCC7FE}"/>
    <hyperlink ref="B5" r:id="rId10" display="http://uniandes.smartcatalogiq.com/Catalogo-general-2022/Catalogo/Cursos/ISIS/1000/ISIS-1221" xr:uid="{BBAD3326-4A9F-4033-BCD2-980217F0B4B3}"/>
    <hyperlink ref="B15" r:id="rId11" display="https://catalogo.uniandes.edu.co/2017/Catalogo/Cursos/MATE/1000/MATE-1105" xr:uid="{8EB6C677-E003-4D02-94B5-219AD568B499}"/>
    <hyperlink ref="B14" r:id="rId12" display="https://catalogo.uniandes.edu.co/2017/Catalogo/Cursos/MATE/1000/MATE-1214" xr:uid="{8041D035-AEE1-44AA-8977-BD078AC1DC3B}"/>
    <hyperlink ref="B39" r:id="rId13" display="https://catalogo.uniandes.edu.co/2017/Catalogo/Cursos/IELE/2000/IELE-2010" xr:uid="{E2B9348A-40AD-46B6-8DC9-8756E8FABEE8}"/>
    <hyperlink ref="B23" r:id="rId14" display="https://catalogo.uniandes.edu.co/2017/Catalogo/Cursos/MATE/1000/MATE-1207" xr:uid="{069FBE0B-A3A2-422B-BED1-49820FE8D855}"/>
    <hyperlink ref="B24" r:id="rId15" display="https://catalogo.uniandes.edu.co/2017/Catalogo/Cursos/MATE/2000/MATE-2210" xr:uid="{D3D71858-A270-4182-86F9-2BE916250472}"/>
    <hyperlink ref="B43" r:id="rId16" display="https://catalogo.uniandes.edu.co/2017/Catalogo/Cursos/DERE/1000/DERE-1300" xr:uid="{653AA219-21D7-48D7-B06C-D7068450A00A}"/>
    <hyperlink ref="B17" r:id="rId17" display="https://catalogo.uniandes.edu.co/2017/Catalogo/Cursos/GENERALES-Y-REQUISITOS/CBU" xr:uid="{5353B69D-3CB1-4D1D-B107-37840D45E0AE}"/>
    <hyperlink ref="B51" r:id="rId18" display="https://catalogo.uniandes.edu.co/2017/Catalogo/Cursos/GENERALES-Y-REQUISITOS/CBU" xr:uid="{6BDDE8CD-6A42-40B8-A565-49A9C13D68EF}"/>
    <hyperlink ref="B58" r:id="rId19" display="https://catalogo.uniandes.edu.co/2017/Catalogo/Cursos/IELE/Generales/XXXX-Electiva-en-Fundamentos-de-Ingenier-237-a-3" xr:uid="{85F52624-416E-487D-90F7-D8FF75234959}"/>
    <hyperlink ref="B42" r:id="rId20" display="https://catalogo.uniandes.edu.co/2017/Catalogo/Cursos/IELE/3000/IELE-3102" xr:uid="{706DC2DB-F7D6-4E78-A10E-3979D06A18F3}"/>
    <hyperlink ref="B50" r:id="rId21" display="https://catalogo.uniandes.edu.co/2017/Catalogo/Cursos/IELE/3000/IELE-3110" xr:uid="{7A7C0586-EC22-413E-851A-8DA0F99FEEF9}"/>
    <hyperlink ref="B63" r:id="rId22" display="https://catalogo.uniandes.edu.co/2017/Catalogo/Cursos/IELE/3000/IELE-3006" xr:uid="{3A049944-8CD9-42F5-8349-63F5A7DF8A70}"/>
    <hyperlink ref="B8" r:id="rId23" display="https://catalogo.uniandes.edu.co/2017/Catalogo/Cursos/GENERALES-Y-REQUISITOS/CBU" xr:uid="{A023DF73-5BE4-4BAA-836B-150D2CC668D3}"/>
    <hyperlink ref="B26" r:id="rId24" display="https://catalogo.uniandes.edu.co/2017/Catalogo/Cursos/GENERALES-Y-REQUISITOS/CBU" xr:uid="{B47FF120-C2E3-4B4B-844F-813D1064B306}"/>
    <hyperlink ref="B49" r:id="rId25" display="https://catalogo.uniandes.edu.co/2017/Catalogo/Cursos/IELE/3000/IELE-3110" xr:uid="{253414A7-145A-4962-94F6-04411DCEE3D0}"/>
  </hyperlinks>
  <pageMargins left="0.7" right="0.7" top="0.75" bottom="0.75" header="0.3" footer="0.3"/>
  <pageSetup orientation="portrait"/>
  <legacyDrawing r:id="rId2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5fe311-fcf7-40a8-a04c-f183e0236c02" xsi:nil="true"/>
    <lcf76f155ced4ddcb4097134ff3c332f xmlns="5d448864-0c9f-4050-9bad-33728c8fdb1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A0A51CE30A8B4DBCE3DBD2733022AF" ma:contentTypeVersion="15" ma:contentTypeDescription="Crear nuevo documento." ma:contentTypeScope="" ma:versionID="8e2a5328aafa3e433e29c88237418442">
  <xsd:schema xmlns:xsd="http://www.w3.org/2001/XMLSchema" xmlns:xs="http://www.w3.org/2001/XMLSchema" xmlns:p="http://schemas.microsoft.com/office/2006/metadata/properties" xmlns:ns2="835fe311-fcf7-40a8-a04c-f183e0236c02" xmlns:ns3="5d448864-0c9f-4050-9bad-33728c8fdb1b" targetNamespace="http://schemas.microsoft.com/office/2006/metadata/properties" ma:root="true" ma:fieldsID="b202f05a45a340404ff035b2fda701e9" ns2:_="" ns3:_="">
    <xsd:import namespace="835fe311-fcf7-40a8-a04c-f183e0236c02"/>
    <xsd:import namespace="5d448864-0c9f-4050-9bad-33728c8fdb1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5fe311-fcf7-40a8-a04c-f183e0236c0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d7b7f71-afe3-4076-803f-748b7e1ca162}" ma:internalName="TaxCatchAll" ma:showField="CatchAllData" ma:web="835fe311-fcf7-40a8-a04c-f183e0236c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8864-0c9f-4050-9bad-33728c8fdb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43587-49DD-4C56-8730-9008B22D35AD}">
  <ds:schemaRefs>
    <ds:schemaRef ds:uri="http://schemas.microsoft.com/office/2006/metadata/properties"/>
    <ds:schemaRef ds:uri="http://schemas.microsoft.com/office/infopath/2007/PartnerControls"/>
    <ds:schemaRef ds:uri="835fe311-fcf7-40a8-a04c-f183e0236c02"/>
    <ds:schemaRef ds:uri="5d448864-0c9f-4050-9bad-33728c8fdb1b"/>
  </ds:schemaRefs>
</ds:datastoreItem>
</file>

<file path=customXml/itemProps2.xml><?xml version="1.0" encoding="utf-8"?>
<ds:datastoreItem xmlns:ds="http://schemas.openxmlformats.org/officeDocument/2006/customXml" ds:itemID="{CC09745C-1E8B-4755-BAF1-31AF5FBC54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5fe311-fcf7-40a8-a04c-f183e0236c02"/>
    <ds:schemaRef ds:uri="5d448864-0c9f-4050-9bad-33728c8fdb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7CA554-33FC-4CED-9EEA-4DCD941F36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PLAN PENSUM IELE CBU3</vt:lpstr>
      <vt:lpstr>PLAN PENSUM IELE CBU3 PC</vt:lpstr>
      <vt:lpstr>PLAN PENSUM IELC CBU3</vt:lpstr>
      <vt:lpstr>PLAN PENSUM IELC CBU3 PC</vt:lpstr>
      <vt:lpstr>PLAN PENSUM DOBLE  CBU3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2026-08-20T18:34:48Z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0x010100B5A0A51CE30A8B4DBCE3DBD2733022AF</vt:lpwstr>
  </property>
  <property fmtid="{D5CDD505-2E9C-101B-9397-08002B2CF9AE}" pid="3" name="MediaServiceImageTags">
    <vt:lpwstr/>
  </property>
</Properties>
</file>